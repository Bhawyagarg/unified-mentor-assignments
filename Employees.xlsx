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EE71A9-6C3B-4493-A339-A21DF45B6AB0}" xr6:coauthVersionLast="47" xr6:coauthVersionMax="47" xr10:uidLastSave="{00000000-0000-0000-0000-000000000000}"/>
  <bookViews>
    <workbookView xWindow="2160" yWindow="2160" windowWidth="17280" windowHeight="8880" tabRatio="500" firstSheet="2" activeTab="2" xr2:uid="{00000000-000D-0000-FFFF-FFFF00000000}"/>
  </bookViews>
  <sheets>
    <sheet name="EmpTable" sheetId="1" r:id="rId1"/>
    <sheet name="DepartmentData" sheetId="2" r:id="rId2"/>
    <sheet name="MoreEmployees" sheetId="3" r:id="rId3"/>
    <sheet name="Sheet1" sheetId="4" r:id="rId4"/>
    <sheet name="Sheet2" sheetId="5" r:id="rId5"/>
    <sheet name="Sheet3" sheetId="6" r:id="rId6"/>
  </sheets>
  <definedNames>
    <definedName name="ExternalData_1" localSheetId="0" hidden="1">EmpTable!$A$1:$G$101</definedName>
    <definedName name="ExternalData_1" localSheetId="3" hidden="1">Sheet1!$A$1:$M$111</definedName>
    <definedName name="ExternalData_1" localSheetId="4" hidden="1">Sheet2!$A$1:$C$6</definedName>
    <definedName name="ExternalData_1" localSheetId="5" hidden="1">Sheet3!$A$1:$G$11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1" i="4" l="1"/>
  <c r="I111" i="4"/>
  <c r="H111" i="4"/>
  <c r="J111" i="4" s="1"/>
  <c r="G111" i="4"/>
  <c r="F111" i="4"/>
  <c r="E111" i="4"/>
  <c r="L111" i="4" s="1"/>
  <c r="D111" i="4"/>
  <c r="C111" i="4"/>
  <c r="B111" i="4"/>
  <c r="A111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M108" i="4"/>
  <c r="K108" i="4"/>
  <c r="J108" i="4"/>
  <c r="I108" i="4"/>
  <c r="H108" i="4"/>
  <c r="G108" i="4"/>
  <c r="F108" i="4"/>
  <c r="E108" i="4"/>
  <c r="L108" i="4" s="1"/>
  <c r="D108" i="4"/>
  <c r="C108" i="4"/>
  <c r="B108" i="4"/>
  <c r="A108" i="4"/>
  <c r="M107" i="4"/>
  <c r="K107" i="4"/>
  <c r="I107" i="4"/>
  <c r="H107" i="4"/>
  <c r="J107" i="4" s="1"/>
  <c r="G107" i="4"/>
  <c r="F107" i="4"/>
  <c r="E107" i="4"/>
  <c r="L107" i="4" s="1"/>
  <c r="D107" i="4"/>
  <c r="C107" i="4"/>
  <c r="B107" i="4"/>
  <c r="A107" i="4"/>
  <c r="M106" i="4"/>
  <c r="I106" i="4"/>
  <c r="H106" i="4"/>
  <c r="J106" i="4" s="1"/>
  <c r="G106" i="4"/>
  <c r="F106" i="4"/>
  <c r="E106" i="4"/>
  <c r="L106" i="4" s="1"/>
  <c r="D106" i="4"/>
  <c r="C106" i="4"/>
  <c r="B106" i="4"/>
  <c r="A106" i="4"/>
  <c r="M105" i="4"/>
  <c r="J105" i="4"/>
  <c r="I105" i="4"/>
  <c r="H105" i="4"/>
  <c r="G105" i="4"/>
  <c r="F105" i="4"/>
  <c r="E105" i="4"/>
  <c r="K105" i="4" s="1"/>
  <c r="D105" i="4"/>
  <c r="C105" i="4"/>
  <c r="B105" i="4"/>
  <c r="A105" i="4"/>
  <c r="M104" i="4"/>
  <c r="I104" i="4"/>
  <c r="H104" i="4"/>
  <c r="J104" i="4" s="1"/>
  <c r="G104" i="4"/>
  <c r="F104" i="4"/>
  <c r="E104" i="4"/>
  <c r="L104" i="4" s="1"/>
  <c r="D104" i="4"/>
  <c r="C104" i="4"/>
  <c r="B104" i="4"/>
  <c r="A104" i="4"/>
  <c r="M103" i="4"/>
  <c r="L103" i="4"/>
  <c r="I103" i="4"/>
  <c r="H103" i="4"/>
  <c r="J103" i="4" s="1"/>
  <c r="G103" i="4"/>
  <c r="F103" i="4"/>
  <c r="E103" i="4"/>
  <c r="K103" i="4" s="1"/>
  <c r="D103" i="4"/>
  <c r="C103" i="4"/>
  <c r="B103" i="4"/>
  <c r="A103" i="4"/>
  <c r="M102" i="4"/>
  <c r="L102" i="4"/>
  <c r="K102" i="4"/>
  <c r="I102" i="4"/>
  <c r="J102" i="4" s="1"/>
  <c r="H102" i="4"/>
  <c r="G102" i="4"/>
  <c r="F102" i="4"/>
  <c r="E102" i="4"/>
  <c r="D102" i="4"/>
  <c r="C102" i="4"/>
  <c r="B102" i="4"/>
  <c r="A102" i="4"/>
  <c r="M101" i="4"/>
  <c r="L101" i="4"/>
  <c r="K101" i="4"/>
  <c r="I101" i="4"/>
  <c r="H101" i="4"/>
  <c r="J101" i="4" s="1"/>
  <c r="G101" i="4"/>
  <c r="F101" i="4"/>
  <c r="E101" i="4"/>
  <c r="D101" i="4"/>
  <c r="C101" i="4"/>
  <c r="B101" i="4"/>
  <c r="A101" i="4"/>
  <c r="M100" i="4"/>
  <c r="I100" i="4"/>
  <c r="H100" i="4"/>
  <c r="J100" i="4" s="1"/>
  <c r="G100" i="4"/>
  <c r="F100" i="4"/>
  <c r="E100" i="4"/>
  <c r="L100" i="4" s="1"/>
  <c r="D100" i="4"/>
  <c r="C100" i="4"/>
  <c r="B100" i="4"/>
  <c r="A100" i="4"/>
  <c r="M99" i="4"/>
  <c r="I99" i="4"/>
  <c r="H99" i="4"/>
  <c r="J99" i="4" s="1"/>
  <c r="G99" i="4"/>
  <c r="F99" i="4"/>
  <c r="E99" i="4"/>
  <c r="L99" i="4" s="1"/>
  <c r="D99" i="4"/>
  <c r="C99" i="4"/>
  <c r="B99" i="4"/>
  <c r="A99" i="4"/>
  <c r="M98" i="4"/>
  <c r="I98" i="4"/>
  <c r="H98" i="4"/>
  <c r="J98" i="4" s="1"/>
  <c r="G98" i="4"/>
  <c r="F98" i="4"/>
  <c r="E98" i="4"/>
  <c r="L98" i="4" s="1"/>
  <c r="D98" i="4"/>
  <c r="C98" i="4"/>
  <c r="B98" i="4"/>
  <c r="A98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M96" i="4"/>
  <c r="L96" i="4"/>
  <c r="K96" i="4"/>
  <c r="I96" i="4"/>
  <c r="H96" i="4"/>
  <c r="J96" i="4" s="1"/>
  <c r="G96" i="4"/>
  <c r="F96" i="4"/>
  <c r="E96" i="4"/>
  <c r="D96" i="4"/>
  <c r="C96" i="4"/>
  <c r="B96" i="4"/>
  <c r="A96" i="4"/>
  <c r="M95" i="4"/>
  <c r="J95" i="4"/>
  <c r="I95" i="4"/>
  <c r="H95" i="4"/>
  <c r="G95" i="4"/>
  <c r="F95" i="4"/>
  <c r="E95" i="4"/>
  <c r="K95" i="4" s="1"/>
  <c r="D95" i="4"/>
  <c r="C95" i="4"/>
  <c r="B95" i="4"/>
  <c r="A95" i="4"/>
  <c r="M94" i="4"/>
  <c r="I94" i="4"/>
  <c r="H94" i="4"/>
  <c r="J94" i="4" s="1"/>
  <c r="G94" i="4"/>
  <c r="F94" i="4"/>
  <c r="E94" i="4"/>
  <c r="L94" i="4" s="1"/>
  <c r="D94" i="4"/>
  <c r="C94" i="4"/>
  <c r="B94" i="4"/>
  <c r="A94" i="4"/>
  <c r="M93" i="4"/>
  <c r="J93" i="4"/>
  <c r="I93" i="4"/>
  <c r="H93" i="4"/>
  <c r="G93" i="4"/>
  <c r="F93" i="4"/>
  <c r="E93" i="4"/>
  <c r="L93" i="4" s="1"/>
  <c r="D93" i="4"/>
  <c r="C93" i="4"/>
  <c r="B93" i="4"/>
  <c r="A93" i="4"/>
  <c r="L92" i="4"/>
  <c r="K92" i="4"/>
  <c r="J92" i="4"/>
  <c r="I92" i="4"/>
  <c r="H92" i="4"/>
  <c r="G92" i="4"/>
  <c r="F92" i="4"/>
  <c r="E92" i="4"/>
  <c r="D92" i="4"/>
  <c r="C92" i="4"/>
  <c r="M92" i="4" s="1"/>
  <c r="B92" i="4"/>
  <c r="A92" i="4"/>
  <c r="M91" i="4"/>
  <c r="L91" i="4"/>
  <c r="K91" i="4"/>
  <c r="I91" i="4"/>
  <c r="H91" i="4"/>
  <c r="J91" i="4" s="1"/>
  <c r="G91" i="4"/>
  <c r="F91" i="4"/>
  <c r="E91" i="4"/>
  <c r="D91" i="4"/>
  <c r="C91" i="4"/>
  <c r="B91" i="4"/>
  <c r="A91" i="4"/>
  <c r="M90" i="4"/>
  <c r="I90" i="4"/>
  <c r="H90" i="4"/>
  <c r="J90" i="4" s="1"/>
  <c r="G90" i="4"/>
  <c r="F90" i="4"/>
  <c r="E90" i="4"/>
  <c r="L90" i="4" s="1"/>
  <c r="D90" i="4"/>
  <c r="C90" i="4"/>
  <c r="B90" i="4"/>
  <c r="A90" i="4"/>
  <c r="M89" i="4"/>
  <c r="J89" i="4"/>
  <c r="I89" i="4"/>
  <c r="H89" i="4"/>
  <c r="G89" i="4"/>
  <c r="F89" i="4"/>
  <c r="E89" i="4"/>
  <c r="K89" i="4" s="1"/>
  <c r="D89" i="4"/>
  <c r="C89" i="4"/>
  <c r="B89" i="4"/>
  <c r="A89" i="4"/>
  <c r="M88" i="4"/>
  <c r="I88" i="4"/>
  <c r="H88" i="4"/>
  <c r="J88" i="4" s="1"/>
  <c r="G88" i="4"/>
  <c r="F88" i="4"/>
  <c r="E88" i="4"/>
  <c r="L88" i="4" s="1"/>
  <c r="D88" i="4"/>
  <c r="C88" i="4"/>
  <c r="B88" i="4"/>
  <c r="A88" i="4"/>
  <c r="M87" i="4"/>
  <c r="L87" i="4"/>
  <c r="I87" i="4"/>
  <c r="H87" i="4"/>
  <c r="J87" i="4" s="1"/>
  <c r="G87" i="4"/>
  <c r="F87" i="4"/>
  <c r="E87" i="4"/>
  <c r="K87" i="4" s="1"/>
  <c r="D87" i="4"/>
  <c r="C87" i="4"/>
  <c r="B87" i="4"/>
  <c r="A87" i="4"/>
  <c r="M86" i="4"/>
  <c r="L86" i="4"/>
  <c r="K86" i="4"/>
  <c r="I86" i="4"/>
  <c r="J86" i="4" s="1"/>
  <c r="H86" i="4"/>
  <c r="G86" i="4"/>
  <c r="F86" i="4"/>
  <c r="E86" i="4"/>
  <c r="D86" i="4"/>
  <c r="C86" i="4"/>
  <c r="B86" i="4"/>
  <c r="A86" i="4"/>
  <c r="M85" i="4"/>
  <c r="L85" i="4"/>
  <c r="K85" i="4"/>
  <c r="I85" i="4"/>
  <c r="H85" i="4"/>
  <c r="J85" i="4" s="1"/>
  <c r="G85" i="4"/>
  <c r="F85" i="4"/>
  <c r="E85" i="4"/>
  <c r="D85" i="4"/>
  <c r="C85" i="4"/>
  <c r="B85" i="4"/>
  <c r="A85" i="4"/>
  <c r="M84" i="4"/>
  <c r="I84" i="4"/>
  <c r="J84" i="4" s="1"/>
  <c r="H84" i="4"/>
  <c r="G84" i="4"/>
  <c r="F84" i="4"/>
  <c r="E84" i="4"/>
  <c r="L84" i="4" s="1"/>
  <c r="D84" i="4"/>
  <c r="C84" i="4"/>
  <c r="B84" i="4"/>
  <c r="A84" i="4"/>
  <c r="M83" i="4"/>
  <c r="I83" i="4"/>
  <c r="H83" i="4"/>
  <c r="J83" i="4" s="1"/>
  <c r="G83" i="4"/>
  <c r="F83" i="4"/>
  <c r="E83" i="4"/>
  <c r="L83" i="4" s="1"/>
  <c r="D83" i="4"/>
  <c r="C83" i="4"/>
  <c r="B83" i="4"/>
  <c r="A83" i="4"/>
  <c r="M82" i="4"/>
  <c r="I82" i="4"/>
  <c r="H82" i="4"/>
  <c r="J82" i="4" s="1"/>
  <c r="G82" i="4"/>
  <c r="F82" i="4"/>
  <c r="E82" i="4"/>
  <c r="L82" i="4" s="1"/>
  <c r="D82" i="4"/>
  <c r="C82" i="4"/>
  <c r="B82" i="4"/>
  <c r="A82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M80" i="4"/>
  <c r="L80" i="4"/>
  <c r="K80" i="4"/>
  <c r="I80" i="4"/>
  <c r="H80" i="4"/>
  <c r="J80" i="4" s="1"/>
  <c r="G80" i="4"/>
  <c r="F80" i="4"/>
  <c r="E80" i="4"/>
  <c r="D80" i="4"/>
  <c r="C80" i="4"/>
  <c r="B80" i="4"/>
  <c r="A80" i="4"/>
  <c r="M79" i="4"/>
  <c r="J79" i="4"/>
  <c r="I79" i="4"/>
  <c r="H79" i="4"/>
  <c r="G79" i="4"/>
  <c r="F79" i="4"/>
  <c r="E79" i="4"/>
  <c r="K79" i="4" s="1"/>
  <c r="D79" i="4"/>
  <c r="C79" i="4"/>
  <c r="B79" i="4"/>
  <c r="A79" i="4"/>
  <c r="M78" i="4"/>
  <c r="I78" i="4"/>
  <c r="H78" i="4"/>
  <c r="J78" i="4" s="1"/>
  <c r="G78" i="4"/>
  <c r="F78" i="4"/>
  <c r="E78" i="4"/>
  <c r="L78" i="4" s="1"/>
  <c r="D78" i="4"/>
  <c r="C78" i="4"/>
  <c r="B78" i="4"/>
  <c r="A78" i="4"/>
  <c r="J77" i="4"/>
  <c r="I77" i="4"/>
  <c r="H77" i="4"/>
  <c r="G77" i="4"/>
  <c r="F77" i="4"/>
  <c r="E77" i="4"/>
  <c r="L77" i="4" s="1"/>
  <c r="D77" i="4"/>
  <c r="B77" i="4"/>
  <c r="A77" i="4"/>
  <c r="C77" i="4" s="1"/>
  <c r="M77" i="4" s="1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M75" i="4"/>
  <c r="L75" i="4"/>
  <c r="K75" i="4"/>
  <c r="I75" i="4"/>
  <c r="H75" i="4"/>
  <c r="J75" i="4" s="1"/>
  <c r="G75" i="4"/>
  <c r="F75" i="4"/>
  <c r="E75" i="4"/>
  <c r="D75" i="4"/>
  <c r="C75" i="4"/>
  <c r="B75" i="4"/>
  <c r="A75" i="4"/>
  <c r="M74" i="4"/>
  <c r="I74" i="4"/>
  <c r="H74" i="4"/>
  <c r="J74" i="4" s="1"/>
  <c r="G74" i="4"/>
  <c r="F74" i="4"/>
  <c r="E74" i="4"/>
  <c r="L74" i="4" s="1"/>
  <c r="D74" i="4"/>
  <c r="C74" i="4"/>
  <c r="B74" i="4"/>
  <c r="A74" i="4"/>
  <c r="M73" i="4"/>
  <c r="J73" i="4"/>
  <c r="I73" i="4"/>
  <c r="H73" i="4"/>
  <c r="G73" i="4"/>
  <c r="F73" i="4"/>
  <c r="E73" i="4"/>
  <c r="K73" i="4" s="1"/>
  <c r="D73" i="4"/>
  <c r="C73" i="4"/>
  <c r="B73" i="4"/>
  <c r="A73" i="4"/>
  <c r="M72" i="4"/>
  <c r="I72" i="4"/>
  <c r="H72" i="4"/>
  <c r="J72" i="4" s="1"/>
  <c r="G72" i="4"/>
  <c r="F72" i="4"/>
  <c r="E72" i="4"/>
  <c r="L72" i="4" s="1"/>
  <c r="D72" i="4"/>
  <c r="C72" i="4"/>
  <c r="B72" i="4"/>
  <c r="A72" i="4"/>
  <c r="M71" i="4"/>
  <c r="L71" i="4"/>
  <c r="J71" i="4"/>
  <c r="I71" i="4"/>
  <c r="H71" i="4"/>
  <c r="G71" i="4"/>
  <c r="F71" i="4"/>
  <c r="E71" i="4"/>
  <c r="K71" i="4" s="1"/>
  <c r="D71" i="4"/>
  <c r="C71" i="4"/>
  <c r="B71" i="4"/>
  <c r="A71" i="4"/>
  <c r="M70" i="4"/>
  <c r="L70" i="4"/>
  <c r="K70" i="4"/>
  <c r="I70" i="4"/>
  <c r="J70" i="4" s="1"/>
  <c r="H70" i="4"/>
  <c r="G70" i="4"/>
  <c r="F70" i="4"/>
  <c r="E70" i="4"/>
  <c r="D70" i="4"/>
  <c r="C70" i="4"/>
  <c r="B70" i="4"/>
  <c r="A70" i="4"/>
  <c r="M69" i="4"/>
  <c r="L69" i="4"/>
  <c r="K69" i="4"/>
  <c r="I69" i="4"/>
  <c r="H69" i="4"/>
  <c r="J69" i="4" s="1"/>
  <c r="G69" i="4"/>
  <c r="F69" i="4"/>
  <c r="E69" i="4"/>
  <c r="D69" i="4"/>
  <c r="C69" i="4"/>
  <c r="B69" i="4"/>
  <c r="A69" i="4"/>
  <c r="M68" i="4"/>
  <c r="I68" i="4"/>
  <c r="H68" i="4"/>
  <c r="J68" i="4" s="1"/>
  <c r="G68" i="4"/>
  <c r="F68" i="4"/>
  <c r="E68" i="4"/>
  <c r="L68" i="4" s="1"/>
  <c r="D68" i="4"/>
  <c r="C68" i="4"/>
  <c r="B68" i="4"/>
  <c r="A68" i="4"/>
  <c r="M67" i="4"/>
  <c r="I67" i="4"/>
  <c r="H67" i="4"/>
  <c r="J67" i="4" s="1"/>
  <c r="G67" i="4"/>
  <c r="F67" i="4"/>
  <c r="E67" i="4"/>
  <c r="L67" i="4" s="1"/>
  <c r="D67" i="4"/>
  <c r="C67" i="4"/>
  <c r="B67" i="4"/>
  <c r="A67" i="4"/>
  <c r="M66" i="4"/>
  <c r="J66" i="4"/>
  <c r="I66" i="4"/>
  <c r="H66" i="4"/>
  <c r="G66" i="4"/>
  <c r="F66" i="4"/>
  <c r="E66" i="4"/>
  <c r="L66" i="4" s="1"/>
  <c r="D66" i="4"/>
  <c r="C66" i="4"/>
  <c r="B66" i="4"/>
  <c r="A66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M64" i="4"/>
  <c r="L64" i="4"/>
  <c r="K64" i="4"/>
  <c r="I64" i="4"/>
  <c r="H64" i="4"/>
  <c r="J64" i="4" s="1"/>
  <c r="G64" i="4"/>
  <c r="F64" i="4"/>
  <c r="E64" i="4"/>
  <c r="D64" i="4"/>
  <c r="C64" i="4"/>
  <c r="B64" i="4"/>
  <c r="A64" i="4"/>
  <c r="M63" i="4"/>
  <c r="J63" i="4"/>
  <c r="I63" i="4"/>
  <c r="H63" i="4"/>
  <c r="G63" i="4"/>
  <c r="F63" i="4"/>
  <c r="E63" i="4"/>
  <c r="K63" i="4" s="1"/>
  <c r="D63" i="4"/>
  <c r="C63" i="4"/>
  <c r="B63" i="4"/>
  <c r="A63" i="4"/>
  <c r="K62" i="4"/>
  <c r="I62" i="4"/>
  <c r="H62" i="4"/>
  <c r="J62" i="4" s="1"/>
  <c r="G62" i="4"/>
  <c r="F62" i="4"/>
  <c r="E62" i="4"/>
  <c r="L62" i="4" s="1"/>
  <c r="D62" i="4"/>
  <c r="B62" i="4"/>
  <c r="A62" i="4"/>
  <c r="C62" i="4" s="1"/>
  <c r="M62" i="4" s="1"/>
  <c r="M61" i="4"/>
  <c r="K61" i="4"/>
  <c r="I61" i="4"/>
  <c r="H61" i="4"/>
  <c r="J61" i="4" s="1"/>
  <c r="G61" i="4"/>
  <c r="F61" i="4"/>
  <c r="E61" i="4"/>
  <c r="L61" i="4" s="1"/>
  <c r="D61" i="4"/>
  <c r="C61" i="4"/>
  <c r="B61" i="4"/>
  <c r="A61" i="4"/>
  <c r="M60" i="4"/>
  <c r="L60" i="4"/>
  <c r="K60" i="4"/>
  <c r="I60" i="4"/>
  <c r="H60" i="4"/>
  <c r="J60" i="4" s="1"/>
  <c r="G60" i="4"/>
  <c r="F60" i="4"/>
  <c r="E60" i="4"/>
  <c r="D60" i="4"/>
  <c r="C60" i="4"/>
  <c r="B60" i="4"/>
  <c r="A60" i="4"/>
  <c r="M59" i="4"/>
  <c r="K59" i="4"/>
  <c r="I59" i="4"/>
  <c r="H59" i="4"/>
  <c r="J59" i="4" s="1"/>
  <c r="G59" i="4"/>
  <c r="F59" i="4"/>
  <c r="E59" i="4"/>
  <c r="L59" i="4" s="1"/>
  <c r="D59" i="4"/>
  <c r="C59" i="4"/>
  <c r="B59" i="4"/>
  <c r="A59" i="4"/>
  <c r="M58" i="4"/>
  <c r="I58" i="4"/>
  <c r="H58" i="4"/>
  <c r="J58" i="4" s="1"/>
  <c r="G58" i="4"/>
  <c r="F58" i="4"/>
  <c r="E58" i="4"/>
  <c r="L58" i="4" s="1"/>
  <c r="D58" i="4"/>
  <c r="C58" i="4"/>
  <c r="B58" i="4"/>
  <c r="A58" i="4"/>
  <c r="M57" i="4"/>
  <c r="J57" i="4"/>
  <c r="I57" i="4"/>
  <c r="H57" i="4"/>
  <c r="G57" i="4"/>
  <c r="F57" i="4"/>
  <c r="E57" i="4"/>
  <c r="K57" i="4" s="1"/>
  <c r="D57" i="4"/>
  <c r="C57" i="4"/>
  <c r="B57" i="4"/>
  <c r="A57" i="4"/>
  <c r="M56" i="4"/>
  <c r="L56" i="4"/>
  <c r="I56" i="4"/>
  <c r="H56" i="4"/>
  <c r="J56" i="4" s="1"/>
  <c r="G56" i="4"/>
  <c r="F56" i="4"/>
  <c r="E56" i="4"/>
  <c r="K56" i="4" s="1"/>
  <c r="D56" i="4"/>
  <c r="C56" i="4"/>
  <c r="B56" i="4"/>
  <c r="A56" i="4"/>
  <c r="M55" i="4"/>
  <c r="L55" i="4"/>
  <c r="I55" i="4"/>
  <c r="J55" i="4" s="1"/>
  <c r="H55" i="4"/>
  <c r="G55" i="4"/>
  <c r="F55" i="4"/>
  <c r="E55" i="4"/>
  <c r="K55" i="4" s="1"/>
  <c r="D55" i="4"/>
  <c r="C55" i="4"/>
  <c r="B55" i="4"/>
  <c r="A55" i="4"/>
  <c r="M54" i="4"/>
  <c r="L54" i="4"/>
  <c r="K54" i="4"/>
  <c r="I54" i="4"/>
  <c r="J54" i="4" s="1"/>
  <c r="H54" i="4"/>
  <c r="G54" i="4"/>
  <c r="F54" i="4"/>
  <c r="E54" i="4"/>
  <c r="D54" i="4"/>
  <c r="C54" i="4"/>
  <c r="B54" i="4"/>
  <c r="A54" i="4"/>
  <c r="M53" i="4"/>
  <c r="L53" i="4"/>
  <c r="K53" i="4"/>
  <c r="I53" i="4"/>
  <c r="H53" i="4"/>
  <c r="J53" i="4" s="1"/>
  <c r="G53" i="4"/>
  <c r="F53" i="4"/>
  <c r="E53" i="4"/>
  <c r="D53" i="4"/>
  <c r="C53" i="4"/>
  <c r="B53" i="4"/>
  <c r="A53" i="4"/>
  <c r="M52" i="4"/>
  <c r="I52" i="4"/>
  <c r="J52" i="4" s="1"/>
  <c r="H52" i="4"/>
  <c r="G52" i="4"/>
  <c r="F52" i="4"/>
  <c r="E52" i="4"/>
  <c r="L52" i="4" s="1"/>
  <c r="D52" i="4"/>
  <c r="C52" i="4"/>
  <c r="B52" i="4"/>
  <c r="A52" i="4"/>
  <c r="M51" i="4"/>
  <c r="I51" i="4"/>
  <c r="H51" i="4"/>
  <c r="J51" i="4" s="1"/>
  <c r="G51" i="4"/>
  <c r="F51" i="4"/>
  <c r="E51" i="4"/>
  <c r="L51" i="4" s="1"/>
  <c r="D51" i="4"/>
  <c r="C51" i="4"/>
  <c r="B51" i="4"/>
  <c r="A51" i="4"/>
  <c r="M50" i="4"/>
  <c r="J50" i="4"/>
  <c r="I50" i="4"/>
  <c r="H50" i="4"/>
  <c r="G50" i="4"/>
  <c r="F50" i="4"/>
  <c r="E50" i="4"/>
  <c r="L50" i="4" s="1"/>
  <c r="D50" i="4"/>
  <c r="C50" i="4"/>
  <c r="B50" i="4"/>
  <c r="A50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M48" i="4"/>
  <c r="L48" i="4"/>
  <c r="K48" i="4"/>
  <c r="I48" i="4"/>
  <c r="H48" i="4"/>
  <c r="J48" i="4" s="1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K47" i="4" s="1"/>
  <c r="D47" i="4"/>
  <c r="B47" i="4"/>
  <c r="A47" i="4"/>
  <c r="C47" i="4" s="1"/>
  <c r="M47" i="4" s="1"/>
  <c r="M46" i="4"/>
  <c r="K46" i="4"/>
  <c r="I46" i="4"/>
  <c r="J46" i="4" s="1"/>
  <c r="H46" i="4"/>
  <c r="G46" i="4"/>
  <c r="F46" i="4"/>
  <c r="E46" i="4"/>
  <c r="L46" i="4" s="1"/>
  <c r="D46" i="4"/>
  <c r="C46" i="4"/>
  <c r="B46" i="4"/>
  <c r="A46" i="4"/>
  <c r="M45" i="4"/>
  <c r="K45" i="4"/>
  <c r="I45" i="4"/>
  <c r="H45" i="4"/>
  <c r="J45" i="4" s="1"/>
  <c r="G45" i="4"/>
  <c r="F45" i="4"/>
  <c r="E45" i="4"/>
  <c r="L45" i="4" s="1"/>
  <c r="D45" i="4"/>
  <c r="C45" i="4"/>
  <c r="B45" i="4"/>
  <c r="A45" i="4"/>
  <c r="M44" i="4"/>
  <c r="L44" i="4"/>
  <c r="K44" i="4"/>
  <c r="I44" i="4"/>
  <c r="H44" i="4"/>
  <c r="J44" i="4" s="1"/>
  <c r="G44" i="4"/>
  <c r="F44" i="4"/>
  <c r="E44" i="4"/>
  <c r="D44" i="4"/>
  <c r="C44" i="4"/>
  <c r="B44" i="4"/>
  <c r="A44" i="4"/>
  <c r="M43" i="4"/>
  <c r="K43" i="4"/>
  <c r="I43" i="4"/>
  <c r="H43" i="4"/>
  <c r="J43" i="4" s="1"/>
  <c r="G43" i="4"/>
  <c r="F43" i="4"/>
  <c r="E43" i="4"/>
  <c r="L43" i="4" s="1"/>
  <c r="D43" i="4"/>
  <c r="C43" i="4"/>
  <c r="B43" i="4"/>
  <c r="A43" i="4"/>
  <c r="M42" i="4"/>
  <c r="I42" i="4"/>
  <c r="H42" i="4"/>
  <c r="J42" i="4" s="1"/>
  <c r="G42" i="4"/>
  <c r="F42" i="4"/>
  <c r="E42" i="4"/>
  <c r="L42" i="4" s="1"/>
  <c r="D42" i="4"/>
  <c r="C42" i="4"/>
  <c r="B42" i="4"/>
  <c r="A42" i="4"/>
  <c r="M41" i="4"/>
  <c r="J41" i="4"/>
  <c r="I41" i="4"/>
  <c r="H41" i="4"/>
  <c r="G41" i="4"/>
  <c r="F41" i="4"/>
  <c r="E41" i="4"/>
  <c r="K41" i="4" s="1"/>
  <c r="D41" i="4"/>
  <c r="C41" i="4"/>
  <c r="B41" i="4"/>
  <c r="A41" i="4"/>
  <c r="M40" i="4"/>
  <c r="L40" i="4"/>
  <c r="I40" i="4"/>
  <c r="H40" i="4"/>
  <c r="J40" i="4" s="1"/>
  <c r="G40" i="4"/>
  <c r="F40" i="4"/>
  <c r="E40" i="4"/>
  <c r="K40" i="4" s="1"/>
  <c r="D40" i="4"/>
  <c r="C40" i="4"/>
  <c r="B40" i="4"/>
  <c r="A40" i="4"/>
  <c r="M39" i="4"/>
  <c r="L39" i="4"/>
  <c r="I39" i="4"/>
  <c r="J39" i="4" s="1"/>
  <c r="H39" i="4"/>
  <c r="G39" i="4"/>
  <c r="F39" i="4"/>
  <c r="E39" i="4"/>
  <c r="K39" i="4" s="1"/>
  <c r="D39" i="4"/>
  <c r="C39" i="4"/>
  <c r="B39" i="4"/>
  <c r="A39" i="4"/>
  <c r="M38" i="4"/>
  <c r="L38" i="4"/>
  <c r="K38" i="4"/>
  <c r="I38" i="4"/>
  <c r="J38" i="4" s="1"/>
  <c r="H38" i="4"/>
  <c r="G38" i="4"/>
  <c r="F38" i="4"/>
  <c r="E38" i="4"/>
  <c r="D38" i="4"/>
  <c r="C38" i="4"/>
  <c r="B38" i="4"/>
  <c r="A38" i="4"/>
  <c r="M37" i="4"/>
  <c r="L37" i="4"/>
  <c r="K37" i="4"/>
  <c r="I37" i="4"/>
  <c r="H37" i="4"/>
  <c r="J37" i="4" s="1"/>
  <c r="G37" i="4"/>
  <c r="F37" i="4"/>
  <c r="E37" i="4"/>
  <c r="D37" i="4"/>
  <c r="C37" i="4"/>
  <c r="B37" i="4"/>
  <c r="A37" i="4"/>
  <c r="M36" i="4"/>
  <c r="I36" i="4"/>
  <c r="J36" i="4" s="1"/>
  <c r="H36" i="4"/>
  <c r="G36" i="4"/>
  <c r="F36" i="4"/>
  <c r="E36" i="4"/>
  <c r="L36" i="4" s="1"/>
  <c r="D36" i="4"/>
  <c r="C36" i="4"/>
  <c r="B36" i="4"/>
  <c r="A36" i="4"/>
  <c r="M35" i="4"/>
  <c r="I35" i="4"/>
  <c r="H35" i="4"/>
  <c r="J35" i="4" s="1"/>
  <c r="G35" i="4"/>
  <c r="F35" i="4"/>
  <c r="E35" i="4"/>
  <c r="L35" i="4" s="1"/>
  <c r="D35" i="4"/>
  <c r="C35" i="4"/>
  <c r="B35" i="4"/>
  <c r="A35" i="4"/>
  <c r="M34" i="4"/>
  <c r="J34" i="4"/>
  <c r="I34" i="4"/>
  <c r="H34" i="4"/>
  <c r="G34" i="4"/>
  <c r="F34" i="4"/>
  <c r="E34" i="4"/>
  <c r="L34" i="4" s="1"/>
  <c r="D34" i="4"/>
  <c r="C34" i="4"/>
  <c r="B34" i="4"/>
  <c r="A34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L32" i="4"/>
  <c r="K32" i="4"/>
  <c r="I32" i="4"/>
  <c r="H32" i="4"/>
  <c r="J32" i="4" s="1"/>
  <c r="G32" i="4"/>
  <c r="F32" i="4"/>
  <c r="E32" i="4"/>
  <c r="D32" i="4"/>
  <c r="B32" i="4"/>
  <c r="A32" i="4"/>
  <c r="C32" i="4" s="1"/>
  <c r="M32" i="4" s="1"/>
  <c r="M31" i="4"/>
  <c r="J31" i="4"/>
  <c r="I31" i="4"/>
  <c r="H31" i="4"/>
  <c r="G31" i="4"/>
  <c r="F31" i="4"/>
  <c r="E31" i="4"/>
  <c r="K31" i="4" s="1"/>
  <c r="D31" i="4"/>
  <c r="C31" i="4"/>
  <c r="B31" i="4"/>
  <c r="A31" i="4"/>
  <c r="M30" i="4"/>
  <c r="K30" i="4"/>
  <c r="I30" i="4"/>
  <c r="H30" i="4"/>
  <c r="J30" i="4" s="1"/>
  <c r="G30" i="4"/>
  <c r="F30" i="4"/>
  <c r="E30" i="4"/>
  <c r="L30" i="4" s="1"/>
  <c r="D30" i="4"/>
  <c r="C30" i="4"/>
  <c r="B30" i="4"/>
  <c r="A30" i="4"/>
  <c r="M29" i="4"/>
  <c r="K29" i="4"/>
  <c r="I29" i="4"/>
  <c r="H29" i="4"/>
  <c r="J29" i="4" s="1"/>
  <c r="G29" i="4"/>
  <c r="F29" i="4"/>
  <c r="E29" i="4"/>
  <c r="L29" i="4" s="1"/>
  <c r="D29" i="4"/>
  <c r="C29" i="4"/>
  <c r="B29" i="4"/>
  <c r="A29" i="4"/>
  <c r="M28" i="4"/>
  <c r="L28" i="4"/>
  <c r="K28" i="4"/>
  <c r="I28" i="4"/>
  <c r="H28" i="4"/>
  <c r="J28" i="4" s="1"/>
  <c r="G28" i="4"/>
  <c r="F28" i="4"/>
  <c r="E28" i="4"/>
  <c r="D28" i="4"/>
  <c r="C28" i="4"/>
  <c r="B28" i="4"/>
  <c r="A28" i="4"/>
  <c r="M27" i="4"/>
  <c r="K27" i="4"/>
  <c r="I27" i="4"/>
  <c r="H27" i="4"/>
  <c r="J27" i="4" s="1"/>
  <c r="G27" i="4"/>
  <c r="F27" i="4"/>
  <c r="E27" i="4"/>
  <c r="L27" i="4" s="1"/>
  <c r="D27" i="4"/>
  <c r="C27" i="4"/>
  <c r="B27" i="4"/>
  <c r="A27" i="4"/>
  <c r="M26" i="4"/>
  <c r="I26" i="4"/>
  <c r="H26" i="4"/>
  <c r="J26" i="4" s="1"/>
  <c r="G26" i="4"/>
  <c r="F26" i="4"/>
  <c r="E26" i="4"/>
  <c r="L26" i="4" s="1"/>
  <c r="D26" i="4"/>
  <c r="C26" i="4"/>
  <c r="B26" i="4"/>
  <c r="A26" i="4"/>
  <c r="M25" i="4"/>
  <c r="J25" i="4"/>
  <c r="I25" i="4"/>
  <c r="H25" i="4"/>
  <c r="G25" i="4"/>
  <c r="F25" i="4"/>
  <c r="E25" i="4"/>
  <c r="K25" i="4" s="1"/>
  <c r="D25" i="4"/>
  <c r="C25" i="4"/>
  <c r="B25" i="4"/>
  <c r="A25" i="4"/>
  <c r="M24" i="4"/>
  <c r="L24" i="4"/>
  <c r="I24" i="4"/>
  <c r="H24" i="4"/>
  <c r="J24" i="4" s="1"/>
  <c r="G24" i="4"/>
  <c r="F24" i="4"/>
  <c r="E24" i="4"/>
  <c r="K24" i="4" s="1"/>
  <c r="D24" i="4"/>
  <c r="C24" i="4"/>
  <c r="B24" i="4"/>
  <c r="A24" i="4"/>
  <c r="M23" i="4"/>
  <c r="L23" i="4"/>
  <c r="I23" i="4"/>
  <c r="J23" i="4" s="1"/>
  <c r="H23" i="4"/>
  <c r="G23" i="4"/>
  <c r="F23" i="4"/>
  <c r="E23" i="4"/>
  <c r="K23" i="4" s="1"/>
  <c r="D23" i="4"/>
  <c r="C23" i="4"/>
  <c r="B23" i="4"/>
  <c r="A23" i="4"/>
  <c r="M22" i="4"/>
  <c r="L22" i="4"/>
  <c r="K22" i="4"/>
  <c r="I22" i="4"/>
  <c r="J22" i="4" s="1"/>
  <c r="H22" i="4"/>
  <c r="G22" i="4"/>
  <c r="F22" i="4"/>
  <c r="E22" i="4"/>
  <c r="D22" i="4"/>
  <c r="C22" i="4"/>
  <c r="B22" i="4"/>
  <c r="A22" i="4"/>
  <c r="M21" i="4"/>
  <c r="L21" i="4"/>
  <c r="K21" i="4"/>
  <c r="I21" i="4"/>
  <c r="H21" i="4"/>
  <c r="J21" i="4" s="1"/>
  <c r="G21" i="4"/>
  <c r="F21" i="4"/>
  <c r="E21" i="4"/>
  <c r="D21" i="4"/>
  <c r="C21" i="4"/>
  <c r="B21" i="4"/>
  <c r="A21" i="4"/>
  <c r="M20" i="4"/>
  <c r="I20" i="4"/>
  <c r="J20" i="4" s="1"/>
  <c r="H20" i="4"/>
  <c r="G20" i="4"/>
  <c r="F20" i="4"/>
  <c r="E20" i="4"/>
  <c r="L20" i="4" s="1"/>
  <c r="D20" i="4"/>
  <c r="C20" i="4"/>
  <c r="B20" i="4"/>
  <c r="A20" i="4"/>
  <c r="M19" i="4"/>
  <c r="I19" i="4"/>
  <c r="H19" i="4"/>
  <c r="J19" i="4" s="1"/>
  <c r="G19" i="4"/>
  <c r="F19" i="4"/>
  <c r="E19" i="4"/>
  <c r="L19" i="4" s="1"/>
  <c r="D19" i="4"/>
  <c r="C19" i="4"/>
  <c r="B19" i="4"/>
  <c r="A19" i="4"/>
  <c r="M18" i="4"/>
  <c r="J18" i="4"/>
  <c r="I18" i="4"/>
  <c r="H18" i="4"/>
  <c r="G18" i="4"/>
  <c r="F18" i="4"/>
  <c r="E18" i="4"/>
  <c r="L18" i="4" s="1"/>
  <c r="D18" i="4"/>
  <c r="C18" i="4"/>
  <c r="B18" i="4"/>
  <c r="A18" i="4"/>
  <c r="L17" i="4"/>
  <c r="K17" i="4"/>
  <c r="J17" i="4"/>
  <c r="I17" i="4"/>
  <c r="H17" i="4"/>
  <c r="G17" i="4"/>
  <c r="F17" i="4"/>
  <c r="E17" i="4"/>
  <c r="D17" i="4"/>
  <c r="B17" i="4"/>
  <c r="A17" i="4"/>
  <c r="C17" i="4" s="1"/>
  <c r="M17" i="4" s="1"/>
  <c r="M16" i="4"/>
  <c r="L16" i="4"/>
  <c r="K16" i="4"/>
  <c r="I16" i="4"/>
  <c r="H16" i="4"/>
  <c r="J16" i="4" s="1"/>
  <c r="G16" i="4"/>
  <c r="F16" i="4"/>
  <c r="E16" i="4"/>
  <c r="D16" i="4"/>
  <c r="C16" i="4"/>
  <c r="B16" i="4"/>
  <c r="A16" i="4"/>
  <c r="M15" i="4"/>
  <c r="J15" i="4"/>
  <c r="I15" i="4"/>
  <c r="H15" i="4"/>
  <c r="G15" i="4"/>
  <c r="F15" i="4"/>
  <c r="E15" i="4"/>
  <c r="K15" i="4" s="1"/>
  <c r="D15" i="4"/>
  <c r="C15" i="4"/>
  <c r="B15" i="4"/>
  <c r="A15" i="4"/>
  <c r="M14" i="4"/>
  <c r="K14" i="4"/>
  <c r="I14" i="4"/>
  <c r="H14" i="4"/>
  <c r="J14" i="4" s="1"/>
  <c r="G14" i="4"/>
  <c r="F14" i="4"/>
  <c r="E14" i="4"/>
  <c r="L14" i="4" s="1"/>
  <c r="D14" i="4"/>
  <c r="C14" i="4"/>
  <c r="B14" i="4"/>
  <c r="A14" i="4"/>
  <c r="M13" i="4"/>
  <c r="K13" i="4"/>
  <c r="I13" i="4"/>
  <c r="H13" i="4"/>
  <c r="J13" i="4" s="1"/>
  <c r="G13" i="4"/>
  <c r="F13" i="4"/>
  <c r="E13" i="4"/>
  <c r="L13" i="4" s="1"/>
  <c r="D13" i="4"/>
  <c r="C13" i="4"/>
  <c r="B13" i="4"/>
  <c r="A13" i="4"/>
  <c r="M12" i="4"/>
  <c r="L12" i="4"/>
  <c r="K12" i="4"/>
  <c r="I12" i="4"/>
  <c r="H12" i="4"/>
  <c r="J12" i="4" s="1"/>
  <c r="G12" i="4"/>
  <c r="F12" i="4"/>
  <c r="E12" i="4"/>
  <c r="D12" i="4"/>
  <c r="C12" i="4"/>
  <c r="B12" i="4"/>
  <c r="A12" i="4"/>
  <c r="M11" i="4"/>
  <c r="K11" i="4"/>
  <c r="I11" i="4"/>
  <c r="H11" i="4"/>
  <c r="J11" i="4" s="1"/>
  <c r="G11" i="4"/>
  <c r="F11" i="4"/>
  <c r="E11" i="4"/>
  <c r="L11" i="4" s="1"/>
  <c r="D11" i="4"/>
  <c r="C11" i="4"/>
  <c r="B11" i="4"/>
  <c r="A11" i="4"/>
  <c r="M10" i="4"/>
  <c r="I10" i="4"/>
  <c r="H10" i="4"/>
  <c r="J10" i="4" s="1"/>
  <c r="G10" i="4"/>
  <c r="F10" i="4"/>
  <c r="E10" i="4"/>
  <c r="L10" i="4" s="1"/>
  <c r="D10" i="4"/>
  <c r="C10" i="4"/>
  <c r="B10" i="4"/>
  <c r="A10" i="4"/>
  <c r="M9" i="4"/>
  <c r="J9" i="4"/>
  <c r="I9" i="4"/>
  <c r="H9" i="4"/>
  <c r="G9" i="4"/>
  <c r="F9" i="4"/>
  <c r="E9" i="4"/>
  <c r="K9" i="4" s="1"/>
  <c r="D9" i="4"/>
  <c r="C9" i="4"/>
  <c r="B9" i="4"/>
  <c r="A9" i="4"/>
  <c r="M8" i="4"/>
  <c r="I8" i="4"/>
  <c r="H8" i="4"/>
  <c r="J8" i="4" s="1"/>
  <c r="G8" i="4"/>
  <c r="F8" i="4"/>
  <c r="E8" i="4"/>
  <c r="L8" i="4" s="1"/>
  <c r="D8" i="4"/>
  <c r="C8" i="4"/>
  <c r="B8" i="4"/>
  <c r="A8" i="4"/>
  <c r="M7" i="4"/>
  <c r="L7" i="4"/>
  <c r="I7" i="4"/>
  <c r="J7" i="4" s="1"/>
  <c r="H7" i="4"/>
  <c r="G7" i="4"/>
  <c r="F7" i="4"/>
  <c r="E7" i="4"/>
  <c r="K7" i="4" s="1"/>
  <c r="D7" i="4"/>
  <c r="C7" i="4"/>
  <c r="B7" i="4"/>
  <c r="A7" i="4"/>
  <c r="M6" i="4"/>
  <c r="L6" i="4"/>
  <c r="K6" i="4"/>
  <c r="I6" i="4"/>
  <c r="J6" i="4" s="1"/>
  <c r="H6" i="4"/>
  <c r="G6" i="4"/>
  <c r="F6" i="4"/>
  <c r="E6" i="4"/>
  <c r="D6" i="4"/>
  <c r="C6" i="4"/>
  <c r="B6" i="4"/>
  <c r="A6" i="4"/>
  <c r="M5" i="4"/>
  <c r="L5" i="4"/>
  <c r="K5" i="4"/>
  <c r="I5" i="4"/>
  <c r="H5" i="4"/>
  <c r="J5" i="4" s="1"/>
  <c r="G5" i="4"/>
  <c r="F5" i="4"/>
  <c r="E5" i="4"/>
  <c r="D5" i="4"/>
  <c r="C5" i="4"/>
  <c r="B5" i="4"/>
  <c r="A5" i="4"/>
  <c r="M4" i="4"/>
  <c r="I4" i="4"/>
  <c r="J4" i="4" s="1"/>
  <c r="H4" i="4"/>
  <c r="G4" i="4"/>
  <c r="F4" i="4"/>
  <c r="E4" i="4"/>
  <c r="K4" i="4" s="1"/>
  <c r="D4" i="4"/>
  <c r="C4" i="4"/>
  <c r="B4" i="4"/>
  <c r="A4" i="4"/>
  <c r="M3" i="4"/>
  <c r="I3" i="4"/>
  <c r="H3" i="4"/>
  <c r="J3" i="4" s="1"/>
  <c r="G3" i="4"/>
  <c r="F3" i="4"/>
  <c r="E3" i="4"/>
  <c r="L3" i="4" s="1"/>
  <c r="D3" i="4"/>
  <c r="C3" i="4"/>
  <c r="B3" i="4"/>
  <c r="A3" i="4"/>
  <c r="J2" i="4"/>
  <c r="I2" i="4"/>
  <c r="H2" i="4"/>
  <c r="G2" i="4"/>
  <c r="F2" i="4"/>
  <c r="E2" i="4"/>
  <c r="L2" i="4" s="1"/>
  <c r="D2" i="4"/>
  <c r="C2" i="4"/>
  <c r="M2" i="4" s="1"/>
  <c r="B2" i="4"/>
  <c r="A2" i="4"/>
  <c r="L25" i="4" l="1"/>
  <c r="L41" i="4"/>
  <c r="L57" i="4"/>
  <c r="L73" i="4"/>
  <c r="K78" i="4"/>
  <c r="L89" i="4"/>
  <c r="K94" i="4"/>
  <c r="L105" i="4"/>
  <c r="L47" i="4"/>
  <c r="K68" i="4"/>
  <c r="L4" i="4"/>
  <c r="K3" i="4"/>
  <c r="K19" i="4"/>
  <c r="K35" i="4"/>
  <c r="K51" i="4"/>
  <c r="K67" i="4"/>
  <c r="K83" i="4"/>
  <c r="K99" i="4"/>
  <c r="L15" i="4"/>
  <c r="L31" i="4"/>
  <c r="K36" i="4"/>
  <c r="L95" i="4"/>
  <c r="L9" i="4"/>
  <c r="K8" i="4"/>
  <c r="K72" i="4"/>
  <c r="K88" i="4"/>
  <c r="K104" i="4"/>
  <c r="K84" i="4"/>
  <c r="K77" i="4"/>
  <c r="K93" i="4"/>
  <c r="K20" i="4"/>
  <c r="L63" i="4"/>
  <c r="L79" i="4"/>
  <c r="K100" i="4"/>
  <c r="K2" i="4"/>
  <c r="K18" i="4"/>
  <c r="K34" i="4"/>
  <c r="K50" i="4"/>
  <c r="K66" i="4"/>
  <c r="K82" i="4"/>
  <c r="K98" i="4"/>
  <c r="K10" i="4"/>
  <c r="K26" i="4"/>
  <c r="K42" i="4"/>
  <c r="K58" i="4"/>
  <c r="K74" i="4"/>
  <c r="K90" i="4"/>
  <c r="K106" i="4"/>
  <c r="K111" i="4"/>
  <c r="K52" i="4"/>
</calcChain>
</file>

<file path=xl/sharedStrings.xml><?xml version="1.0" encoding="utf-8"?>
<sst xmlns="http://schemas.openxmlformats.org/spreadsheetml/2006/main" count="430" uniqueCount="242">
  <si>
    <t>Full Name</t>
  </si>
  <si>
    <t>Email</t>
  </si>
  <si>
    <t>Department</t>
  </si>
  <si>
    <t>Join Date</t>
  </si>
  <si>
    <t>End Date</t>
  </si>
  <si>
    <t>Salary</t>
  </si>
  <si>
    <t>Bonus %</t>
  </si>
  <si>
    <t>Employee 1</t>
  </si>
  <si>
    <t>NA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</si>
  <si>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</si>
  <si>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</si>
  <si>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</si>
  <si>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</si>
  <si>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</si>
  <si>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</si>
  <si>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</si>
  <si>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</si>
  <si>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</si>
  <si>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</si>
  <si>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</si>
  <si>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</si>
  <si>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</si>
  <si>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</si>
  <si>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</si>
  <si>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</si>
  <si>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</si>
  <si>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</si>
  <si>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</si>
  <si>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</si>
  <si>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</si>
  <si>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</si>
  <si>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</si>
  <si>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</si>
  <si>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</si>
  <si>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</si>
  <si>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</si>
  <si>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</si>
  <si>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</si>
  <si>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</si>
  <si>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</si>
  <si>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</si>
  <si>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</si>
  <si>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</si>
  <si>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</si>
  <si>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</si>
  <si>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</si>
  <si>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</si>
  <si>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</si>
  <si>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</si>
  <si>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</si>
  <si>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</si>
  <si>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</si>
  <si>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</si>
  <si>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</si>
  <si>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</si>
  <si>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</si>
  <si>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</si>
  <si>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</si>
  <si>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</si>
  <si>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</si>
  <si>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</si>
  <si>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</si>
  <si>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</si>
  <si>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</si>
  <si>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</si>
  <si>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</si>
  <si>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</si>
  <si>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</si>
  <si>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</si>
  <si>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</si>
  <si>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</si>
  <si>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</si>
  <si>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</si>
  <si>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</si>
  <si>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</si>
  <si>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</si>
  <si>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</si>
  <si>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</si>
  <si>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</si>
  <si>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</si>
  <si>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</si>
  <si>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</si>
  <si>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</si>
  <si>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</si>
  <si>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</si>
  <si>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</si>
  <si>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</si>
  <si>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</si>
  <si>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</si>
  <si>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</si>
  <si>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</si>
  <si>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</si>
  <si>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</si>
  <si>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</si>
  <si>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</si>
  <si>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</si>
  <si>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</si>
  <si>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</si>
  <si>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</si>
  <si>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</si>
  <si>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</si>
  <si>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</si>
  <si>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</si>
  <si>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</si>
  <si>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</si>
  <si>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</si>
  <si>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</si>
  <si>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</si>
  <si>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</si>
  <si>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</si>
  <si>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</si>
  <si>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</si>
  <si>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</si>
  <si>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</si>
  <si>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</si>
  <si>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</si>
  <si>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</si>
  <si>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</si>
  <si>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</si>
  <si>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</si>
  <si>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</si>
  <si>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</si>
  <si>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</si>
  <si>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</si>
  <si>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</si>
  <si>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</si>
  <si>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</si>
  <si>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</si>
  <si>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</si>
  <si>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</si>
  <si>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</si>
  <si>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</si>
  <si>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</si>
  <si>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</si>
  <si>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</si>
  <si>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</si>
  <si>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</si>
  <si>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</si>
  <si>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</si>
  <si>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</si>
  <si>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</si>
  <si>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</si>
  <si>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</si>
  <si>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</si>
  <si>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</si>
  <si>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</si>
  <si>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</si>
  <si>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</si>
  <si>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</si>
  <si>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</si>
  <si>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</si>
  <si>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</si>
  <si>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</si>
  <si>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</si>
  <si>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</si>
  <si>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</si>
  <si>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</si>
  <si>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</si>
  <si>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</si>
  <si>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</si>
  <si>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</si>
  <si>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</si>
  <si>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</si>
  <si>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</si>
  <si>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</si>
  <si>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</si>
  <si>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</si>
  <si>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</si>
  <si>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</si>
  <si>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</si>
  <si>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</si>
  <si>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</si>
  <si>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</si>
  <si>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</si>
  <si>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</si>
  <si>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</si>
  <si>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</si>
  <si>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</si>
  <si>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</si>
  <si>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</si>
  <si>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</si>
  <si>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</si>
  <si>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</si>
  <si>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</si>
  <si>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</si>
  <si>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</si>
  <si>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</si>
  <si>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</si>
  <si>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</si>
  <si>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</si>
  <si>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</si>
  <si>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</si>
  <si>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</si>
  <si>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</si>
  <si>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</si>
  <si>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</si>
  <si>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</si>
  <si>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</si>
  <si>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</si>
  <si>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</si>
  <si>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</si>
  <si>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</si>
  <si>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</si>
  <si>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</si>
  <si>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</si>
  <si>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</si>
  <si>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</si>
  <si>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</si>
  <si>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</si>
  <si>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</si>
  <si>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</si>
  <si>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</si>
  <si>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</si>
  <si>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</si>
  <si>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</si>
  <si>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</si>
  <si>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</si>
  <si>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</si>
  <si>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</si>
  <si>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</si>
  <si>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</si>
  <si>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</si>
  <si>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</si>
  <si>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</si>
  <si>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</si>
  <si>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</si>
  <si>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</si>
  <si>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</si>
  <si>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</si>
  <si>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</si>
  <si>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</si>
  <si>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</si>
  <si>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</si>
  <si>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</si>
  <si>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</si>
  <si>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</si>
  <si>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</si>
  <si>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</si>
  <si>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Sr.No</t>
  </si>
  <si>
    <t>EmpID</t>
  </si>
  <si>
    <t>EmpDomain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</si>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</sst>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\ hh:mm:ss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numFmt numFmtId="165" formatCode="yyyy\-mm\-dd\ hh:mm:ss"/>
    </dxf>
    <dxf>
      <numFmt numFmtId="165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RawData" displayName="RawData" ref="A1:G101" totalsRowShown="0" headerRowDxfId="7">
  <tableColumns count="7">
    <tableColumn id="1" xr3:uid="{00000000-0010-0000-0000-000001000000}" name="Full Name"/>
    <tableColumn id="2" xr3:uid="{00000000-0010-0000-0000-000002000000}" name="Email"/>
    <tableColumn id="3" xr3:uid="{00000000-0010-0000-0000-000003000000}" name="Department"/>
    <tableColumn id="4" xr3:uid="{00000000-0010-0000-0000-000004000000}" name="Join Date"/>
    <tableColumn id="5" xr3:uid="{00000000-0010-0000-0000-000005000000}" name="End Date"/>
    <tableColumn id="6" xr3:uid="{00000000-0010-0000-0000-000006000000}" name="Salary"/>
    <tableColumn id="7" xr3:uid="{00000000-0010-0000-0000-000007000000}" name="Bonus 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0D491-9F00-458C-89CA-0A1C342430C3}" name="Table5" displayName="Table5" ref="A1:G11" totalsRowShown="0" headerRowDxfId="6" headerRowBorderDxfId="5" tableBorderDxfId="4">
  <autoFilter ref="A1:G11" xr:uid="{34F0D491-9F00-458C-89CA-0A1C342430C3}"/>
  <tableColumns count="7">
    <tableColumn id="1" xr3:uid="{B8DF0390-2BB1-4CB5-BD3C-11948090AFBA}" name="Full Name"/>
    <tableColumn id="2" xr3:uid="{598D3E64-D602-4786-B2AE-CCDC4182959A}" name="Email"/>
    <tableColumn id="3" xr3:uid="{DCBAC182-B337-4DA9-8330-CD531DE89B21}" name="Department"/>
    <tableColumn id="4" xr3:uid="{577D3C9E-3EB1-4550-B6E4-639E50FEFC0A}" name="Join Date" dataDxfId="3"/>
    <tableColumn id="5" xr3:uid="{061792F2-4229-4519-B908-B18903DCB34E}" name="End Date" dataDxfId="2"/>
    <tableColumn id="6" xr3:uid="{512BC923-1E31-4F45-9E8A-C67654A972F7}" name="Salary"/>
    <tableColumn id="7" xr3:uid="{3AE0CAE3-67BC-428D-9DD5-14AF30F7BB01}" name="Bonus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Table" displayName="EmpTable" ref="A1:M111" totalsRowShown="0">
  <autoFilter ref="A1:M111" xr:uid="{00000000-0009-0000-0100-000002000000}">
    <filterColumn colId="11">
      <customFilters>
        <customFilter operator="notEqual" val=" "/>
      </customFilters>
    </filterColumn>
  </autoFilter>
  <tableColumns count="13">
    <tableColumn id="1" xr3:uid="{00000000-0010-0000-0100-000001000000}" name="Sr.No"/>
    <tableColumn id="2" xr3:uid="{00000000-0010-0000-0100-000002000000}" name="Full Name"/>
    <tableColumn id="3" xr3:uid="{00000000-0010-0000-0100-000003000000}" name="EmpID"/>
    <tableColumn id="4" xr3:uid="{00000000-0010-0000-0100-000004000000}" name="EmpDomain"/>
    <tableColumn id="5" xr3:uid="{00000000-0010-0000-0100-000005000000}" name="Department"/>
    <tableColumn id="6" xr3:uid="{00000000-0010-0000-0100-000006000000}" name="Join Date"/>
    <tableColumn id="7" xr3:uid="{00000000-0010-0000-0100-000007000000}" name="End Date"/>
    <tableColumn id="8" xr3:uid="{00000000-0010-0000-0100-000008000000}" name="Salary"/>
    <tableColumn id="9" xr3:uid="{00000000-0010-0000-0100-000009000000}" name="Bonus %"/>
    <tableColumn id="10" xr3:uid="{00000000-0010-0000-0100-00000A000000}" name="Bonus Amount"/>
    <tableColumn id="11" xr3:uid="{00000000-0010-0000-0100-00000B000000}" name="Department Head"/>
    <tableColumn id="12" xr3:uid="{00000000-0010-0000-0100-00000C000000}" name="Location"/>
    <tableColumn id="13" xr3:uid="{00000000-0010-0000-0100-00000D000000}" name="Emai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partmentData" displayName="DepartmentData" ref="A1:C6" totalsRowShown="0" headerRowDxfId="1">
  <autoFilter ref="A1:C6" xr:uid="{00000000-0009-0000-0100-000001000000}"/>
  <tableColumns count="3">
    <tableColumn id="1" xr3:uid="{00000000-0010-0000-0200-000001000000}" name="Department"/>
    <tableColumn id="2" xr3:uid="{00000000-0010-0000-0200-000002000000}" name="Department Head"/>
    <tableColumn id="3" xr3:uid="{00000000-0010-0000-0200-000003000000}" name="Loca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oreEmployees" displayName="MoreEmployees" ref="A1:G11" totalsRowShown="0" headerRowDxfId="0">
  <autoFilter ref="A1:G11" xr:uid="{00000000-0009-0000-0100-000003000000}"/>
  <tableColumns count="7">
    <tableColumn id="1" xr3:uid="{00000000-0010-0000-0300-000001000000}" name="Full Name"/>
    <tableColumn id="2" xr3:uid="{00000000-0010-0000-0300-000002000000}" name="Email"/>
    <tableColumn id="3" xr3:uid="{00000000-0010-0000-0300-000003000000}" name="Department"/>
    <tableColumn id="4" xr3:uid="{00000000-0010-0000-0300-000004000000}" name="Join Date"/>
    <tableColumn id="5" xr3:uid="{00000000-0010-0000-0300-000005000000}" name="End Date"/>
    <tableColumn id="6" xr3:uid="{00000000-0010-0000-0300-000006000000}" name="Salary"/>
    <tableColumn id="7" xr3:uid="{00000000-0010-0000-0300-000007000000}" name="Bonus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Normal="100" workbookViewId="0">
      <selection sqref="A1:G1"/>
    </sheetView>
  </sheetViews>
  <sheetFormatPr defaultColWidth="8.6640625" defaultRowHeight="14.4" x14ac:dyDescent="0.3"/>
  <cols>
    <col min="1" max="1" width="12.44140625" customWidth="1"/>
    <col min="2" max="2" width="21.33203125" customWidth="1"/>
    <col min="3" max="3" width="13.33203125" customWidth="1"/>
    <col min="4" max="5" width="10.77734375" customWidth="1"/>
    <col min="6" max="6" width="8.109375" customWidth="1"/>
    <col min="7" max="7" width="10.21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44844</v>
      </c>
      <c r="E2" s="1">
        <v>44895</v>
      </c>
      <c r="F2">
        <v>86422</v>
      </c>
      <c r="G2">
        <v>0.06</v>
      </c>
    </row>
    <row r="3" spans="1:7" x14ac:dyDescent="0.3">
      <c r="A3" t="s">
        <v>10</v>
      </c>
      <c r="B3" t="s">
        <v>11</v>
      </c>
      <c r="C3" t="s">
        <v>12</v>
      </c>
      <c r="D3" s="1">
        <v>45182</v>
      </c>
      <c r="E3" s="1">
        <v>45224</v>
      </c>
      <c r="F3">
        <v>45795</v>
      </c>
      <c r="G3">
        <v>0.12</v>
      </c>
    </row>
    <row r="4" spans="1:7" x14ac:dyDescent="0.3">
      <c r="A4" t="s">
        <v>13</v>
      </c>
      <c r="B4" t="s">
        <v>14</v>
      </c>
      <c r="C4" t="s">
        <v>8</v>
      </c>
      <c r="D4" s="1">
        <v>44784</v>
      </c>
      <c r="E4" s="1">
        <v>44806</v>
      </c>
      <c r="F4">
        <v>30860</v>
      </c>
      <c r="G4">
        <v>0.13</v>
      </c>
    </row>
    <row r="5" spans="1:7" x14ac:dyDescent="0.3">
      <c r="A5" t="s">
        <v>15</v>
      </c>
      <c r="B5" t="s">
        <v>16</v>
      </c>
      <c r="C5" t="s">
        <v>17</v>
      </c>
      <c r="D5" s="1">
        <v>44723</v>
      </c>
      <c r="E5" s="1">
        <v>44777</v>
      </c>
      <c r="F5">
        <v>68158</v>
      </c>
      <c r="G5">
        <v>0.1</v>
      </c>
    </row>
    <row r="6" spans="1:7" x14ac:dyDescent="0.3">
      <c r="A6" t="s">
        <v>18</v>
      </c>
      <c r="B6" t="s">
        <v>19</v>
      </c>
      <c r="C6" t="s">
        <v>20</v>
      </c>
      <c r="D6" s="1">
        <v>45077</v>
      </c>
      <c r="E6" s="1">
        <v>45101</v>
      </c>
      <c r="F6">
        <v>84343</v>
      </c>
      <c r="G6">
        <v>0.22</v>
      </c>
    </row>
    <row r="7" spans="1:7" x14ac:dyDescent="0.3">
      <c r="A7" t="s">
        <v>21</v>
      </c>
      <c r="B7" t="s">
        <v>22</v>
      </c>
      <c r="C7" t="s">
        <v>8</v>
      </c>
      <c r="D7" s="1">
        <v>44722</v>
      </c>
      <c r="E7" s="1">
        <v>44778</v>
      </c>
      <c r="F7">
        <v>74732</v>
      </c>
      <c r="G7">
        <v>0.12</v>
      </c>
    </row>
    <row r="8" spans="1:7" x14ac:dyDescent="0.3">
      <c r="A8" t="s">
        <v>23</v>
      </c>
      <c r="B8" t="s">
        <v>24</v>
      </c>
      <c r="C8" t="s">
        <v>12</v>
      </c>
      <c r="D8" s="1">
        <v>44940</v>
      </c>
      <c r="E8" s="1">
        <v>44962</v>
      </c>
      <c r="F8">
        <v>41284</v>
      </c>
      <c r="G8">
        <v>0.11</v>
      </c>
    </row>
    <row r="9" spans="1:7" x14ac:dyDescent="0.3">
      <c r="A9" t="s">
        <v>25</v>
      </c>
      <c r="B9" t="s">
        <v>26</v>
      </c>
      <c r="C9" t="s">
        <v>20</v>
      </c>
      <c r="D9" s="1">
        <v>44710</v>
      </c>
      <c r="E9" s="1">
        <v>44753</v>
      </c>
      <c r="F9">
        <v>84886</v>
      </c>
      <c r="G9">
        <v>0.16</v>
      </c>
    </row>
    <row r="10" spans="1:7" x14ac:dyDescent="0.3">
      <c r="A10" t="s">
        <v>27</v>
      </c>
      <c r="B10" t="s">
        <v>28</v>
      </c>
      <c r="C10" t="s">
        <v>12</v>
      </c>
      <c r="D10" s="1">
        <v>45205</v>
      </c>
      <c r="E10" s="1">
        <v>45217</v>
      </c>
      <c r="F10">
        <v>36265</v>
      </c>
      <c r="G10">
        <v>0.08</v>
      </c>
    </row>
    <row r="11" spans="1:7" x14ac:dyDescent="0.3">
      <c r="A11" t="s">
        <v>29</v>
      </c>
      <c r="B11" t="s">
        <v>30</v>
      </c>
      <c r="C11" t="s">
        <v>31</v>
      </c>
      <c r="D11" s="1">
        <v>45057</v>
      </c>
      <c r="E11" s="1">
        <v>45105</v>
      </c>
      <c r="F11">
        <v>46850</v>
      </c>
      <c r="G11">
        <v>0.21</v>
      </c>
    </row>
    <row r="12" spans="1:7" x14ac:dyDescent="0.3">
      <c r="A12" t="s">
        <v>32</v>
      </c>
      <c r="B12" t="s">
        <v>33</v>
      </c>
      <c r="C12" t="s">
        <v>8</v>
      </c>
      <c r="D12" s="1">
        <v>44918</v>
      </c>
      <c r="E12" s="1">
        <v>44938</v>
      </c>
      <c r="F12">
        <v>67194</v>
      </c>
      <c r="G12">
        <v>0.06</v>
      </c>
    </row>
    <row r="13" spans="1:7" x14ac:dyDescent="0.3">
      <c r="A13" t="s">
        <v>34</v>
      </c>
      <c r="B13" t="s">
        <v>35</v>
      </c>
      <c r="C13" t="s">
        <v>9</v>
      </c>
      <c r="D13" s="1">
        <v>44923</v>
      </c>
      <c r="E13" s="1">
        <v>44946</v>
      </c>
      <c r="F13">
        <v>51962</v>
      </c>
      <c r="G13">
        <v>0.25</v>
      </c>
    </row>
    <row r="14" spans="1:7" x14ac:dyDescent="0.3">
      <c r="A14" t="s">
        <v>36</v>
      </c>
      <c r="B14" t="s">
        <v>37</v>
      </c>
      <c r="C14" t="s">
        <v>9</v>
      </c>
      <c r="D14" s="1">
        <v>44726</v>
      </c>
      <c r="E14" s="1">
        <v>44767</v>
      </c>
      <c r="F14">
        <v>77191</v>
      </c>
      <c r="G14">
        <v>0.2</v>
      </c>
    </row>
    <row r="15" spans="1:7" x14ac:dyDescent="0.3">
      <c r="A15" t="s">
        <v>38</v>
      </c>
      <c r="B15" t="s">
        <v>39</v>
      </c>
      <c r="C15" t="s">
        <v>31</v>
      </c>
      <c r="D15" s="1">
        <v>44662</v>
      </c>
      <c r="E15" s="1">
        <v>44695</v>
      </c>
      <c r="F15">
        <v>74131</v>
      </c>
      <c r="G15">
        <v>0.09</v>
      </c>
    </row>
    <row r="16" spans="1:7" x14ac:dyDescent="0.3">
      <c r="A16" t="s">
        <v>40</v>
      </c>
      <c r="B16" t="s">
        <v>41</v>
      </c>
      <c r="C16" t="s">
        <v>12</v>
      </c>
      <c r="D16" s="1">
        <v>44916</v>
      </c>
      <c r="E16" s="1">
        <v>44952</v>
      </c>
      <c r="F16">
        <v>46023</v>
      </c>
      <c r="G16">
        <v>0.05</v>
      </c>
    </row>
    <row r="17" spans="1:7" x14ac:dyDescent="0.3">
      <c r="A17" t="s">
        <v>42</v>
      </c>
      <c r="B17" t="s">
        <v>8</v>
      </c>
      <c r="C17" t="s">
        <v>20</v>
      </c>
      <c r="D17" s="1">
        <v>45138</v>
      </c>
      <c r="E17" s="1">
        <v>45181</v>
      </c>
      <c r="F17">
        <v>71090</v>
      </c>
      <c r="G17">
        <v>0.21</v>
      </c>
    </row>
    <row r="18" spans="1:7" x14ac:dyDescent="0.3">
      <c r="A18" t="s">
        <v>43</v>
      </c>
      <c r="B18" t="s">
        <v>44</v>
      </c>
      <c r="C18" t="s">
        <v>8</v>
      </c>
      <c r="D18" s="1">
        <v>45067</v>
      </c>
      <c r="E18" s="1">
        <v>45096</v>
      </c>
      <c r="F18">
        <v>31685</v>
      </c>
      <c r="G18">
        <v>0.19</v>
      </c>
    </row>
    <row r="19" spans="1:7" x14ac:dyDescent="0.3">
      <c r="A19" t="s">
        <v>45</v>
      </c>
      <c r="B19" t="s">
        <v>46</v>
      </c>
      <c r="C19" t="s">
        <v>31</v>
      </c>
      <c r="D19" s="1">
        <v>45216</v>
      </c>
      <c r="E19" s="1">
        <v>45252</v>
      </c>
      <c r="F19">
        <v>30769</v>
      </c>
      <c r="G19">
        <v>0.2</v>
      </c>
    </row>
    <row r="20" spans="1:7" x14ac:dyDescent="0.3">
      <c r="A20" t="s">
        <v>47</v>
      </c>
      <c r="B20" t="s">
        <v>48</v>
      </c>
      <c r="C20" t="s">
        <v>8</v>
      </c>
      <c r="D20" s="1">
        <v>44770</v>
      </c>
      <c r="E20" s="1">
        <v>44793</v>
      </c>
      <c r="F20">
        <v>89735</v>
      </c>
      <c r="G20">
        <v>0.2</v>
      </c>
    </row>
    <row r="21" spans="1:7" x14ac:dyDescent="0.3">
      <c r="A21" t="s">
        <v>49</v>
      </c>
      <c r="B21" t="s">
        <v>50</v>
      </c>
      <c r="C21" t="s">
        <v>31</v>
      </c>
      <c r="D21" s="1">
        <v>44661</v>
      </c>
      <c r="E21" s="1">
        <v>44717</v>
      </c>
      <c r="F21">
        <v>86101</v>
      </c>
      <c r="G21">
        <v>0.06</v>
      </c>
    </row>
    <row r="22" spans="1:7" x14ac:dyDescent="0.3">
      <c r="A22" t="s">
        <v>51</v>
      </c>
      <c r="B22" t="s">
        <v>52</v>
      </c>
      <c r="C22" t="s">
        <v>20</v>
      </c>
      <c r="D22" s="1">
        <v>45339</v>
      </c>
      <c r="E22" s="1">
        <v>45388</v>
      </c>
      <c r="F22">
        <v>32433</v>
      </c>
      <c r="G22">
        <v>0.12</v>
      </c>
    </row>
    <row r="23" spans="1:7" x14ac:dyDescent="0.3">
      <c r="A23" t="s">
        <v>53</v>
      </c>
      <c r="B23" t="s">
        <v>54</v>
      </c>
      <c r="C23" t="s">
        <v>12</v>
      </c>
      <c r="D23" s="1">
        <v>44836</v>
      </c>
      <c r="E23" s="1">
        <v>44864</v>
      </c>
      <c r="F23">
        <v>35311</v>
      </c>
      <c r="G23">
        <v>7.0000000000000007E-2</v>
      </c>
    </row>
    <row r="24" spans="1:7" x14ac:dyDescent="0.3">
      <c r="A24" t="s">
        <v>55</v>
      </c>
      <c r="B24" t="s">
        <v>56</v>
      </c>
      <c r="C24" t="s">
        <v>12</v>
      </c>
      <c r="D24" s="1">
        <v>45213</v>
      </c>
      <c r="E24" s="1">
        <v>45228</v>
      </c>
      <c r="F24">
        <v>67819</v>
      </c>
      <c r="G24">
        <v>0.22</v>
      </c>
    </row>
    <row r="25" spans="1:7" x14ac:dyDescent="0.3">
      <c r="A25" t="s">
        <v>57</v>
      </c>
      <c r="B25" t="s">
        <v>58</v>
      </c>
      <c r="C25" t="s">
        <v>8</v>
      </c>
      <c r="D25" s="1">
        <v>45164</v>
      </c>
      <c r="E25" s="1">
        <v>45182</v>
      </c>
      <c r="F25">
        <v>69188</v>
      </c>
      <c r="G25">
        <v>0.17</v>
      </c>
    </row>
    <row r="26" spans="1:7" x14ac:dyDescent="0.3">
      <c r="A26" t="s">
        <v>59</v>
      </c>
      <c r="B26" t="s">
        <v>60</v>
      </c>
      <c r="C26" t="s">
        <v>12</v>
      </c>
      <c r="D26" s="1">
        <v>44687</v>
      </c>
      <c r="E26" s="1">
        <v>44733</v>
      </c>
      <c r="F26">
        <v>47568</v>
      </c>
      <c r="G26">
        <v>0.12</v>
      </c>
    </row>
    <row r="27" spans="1:7" x14ac:dyDescent="0.3">
      <c r="A27" t="s">
        <v>61</v>
      </c>
      <c r="B27" t="s">
        <v>62</v>
      </c>
      <c r="C27" t="s">
        <v>17</v>
      </c>
      <c r="D27" s="1">
        <v>44656</v>
      </c>
      <c r="E27" s="1">
        <v>44668</v>
      </c>
      <c r="F27">
        <v>83707</v>
      </c>
      <c r="G27">
        <v>0.06</v>
      </c>
    </row>
    <row r="28" spans="1:7" x14ac:dyDescent="0.3">
      <c r="A28" t="s">
        <v>63</v>
      </c>
      <c r="B28" t="s">
        <v>64</v>
      </c>
      <c r="C28" t="s">
        <v>31</v>
      </c>
      <c r="D28" s="1">
        <v>45239</v>
      </c>
      <c r="E28" s="1">
        <v>45299</v>
      </c>
      <c r="F28">
        <v>49769</v>
      </c>
      <c r="G28">
        <v>0.11</v>
      </c>
    </row>
    <row r="29" spans="1:7" x14ac:dyDescent="0.3">
      <c r="A29" t="s">
        <v>65</v>
      </c>
      <c r="B29" t="s">
        <v>66</v>
      </c>
      <c r="C29" t="s">
        <v>12</v>
      </c>
      <c r="D29" s="1">
        <v>45100</v>
      </c>
      <c r="E29" s="1">
        <v>45157</v>
      </c>
      <c r="F29">
        <v>58693</v>
      </c>
      <c r="G29">
        <v>0.12</v>
      </c>
    </row>
    <row r="30" spans="1:7" x14ac:dyDescent="0.3">
      <c r="A30" t="s">
        <v>67</v>
      </c>
      <c r="B30" t="s">
        <v>68</v>
      </c>
      <c r="C30" t="s">
        <v>8</v>
      </c>
      <c r="D30" s="1">
        <v>45076</v>
      </c>
      <c r="E30" s="1">
        <v>45126</v>
      </c>
      <c r="F30">
        <v>36396</v>
      </c>
      <c r="G30">
        <v>0.2</v>
      </c>
    </row>
    <row r="31" spans="1:7" x14ac:dyDescent="0.3">
      <c r="A31" t="s">
        <v>69</v>
      </c>
      <c r="B31" t="s">
        <v>70</v>
      </c>
      <c r="C31" t="s">
        <v>9</v>
      </c>
      <c r="D31" s="1">
        <v>44675</v>
      </c>
      <c r="E31" s="1">
        <v>44685</v>
      </c>
      <c r="F31">
        <v>57480</v>
      </c>
      <c r="G31">
        <v>0.18</v>
      </c>
    </row>
    <row r="32" spans="1:7" x14ac:dyDescent="0.3">
      <c r="A32" t="s">
        <v>71</v>
      </c>
      <c r="B32" t="s">
        <v>8</v>
      </c>
      <c r="C32" t="s">
        <v>20</v>
      </c>
      <c r="D32" s="1">
        <v>44808</v>
      </c>
      <c r="E32" s="1">
        <v>44828</v>
      </c>
      <c r="F32">
        <v>71434</v>
      </c>
      <c r="G32">
        <v>0.23</v>
      </c>
    </row>
    <row r="33" spans="1:7" x14ac:dyDescent="0.3">
      <c r="A33" t="s">
        <v>72</v>
      </c>
      <c r="B33" t="s">
        <v>73</v>
      </c>
      <c r="C33" t="s">
        <v>31</v>
      </c>
      <c r="D33" s="1">
        <v>45270</v>
      </c>
      <c r="E33" s="1">
        <v>45310</v>
      </c>
      <c r="F33">
        <v>55658</v>
      </c>
      <c r="G33">
        <v>0.14000000000000001</v>
      </c>
    </row>
    <row r="34" spans="1:7" x14ac:dyDescent="0.3">
      <c r="A34" t="s">
        <v>74</v>
      </c>
      <c r="B34" t="s">
        <v>75</v>
      </c>
      <c r="C34" t="s">
        <v>20</v>
      </c>
      <c r="D34" s="1">
        <v>44804</v>
      </c>
      <c r="E34" s="1">
        <v>44826</v>
      </c>
      <c r="F34">
        <v>48942</v>
      </c>
      <c r="G34">
        <v>7.0000000000000007E-2</v>
      </c>
    </row>
    <row r="35" spans="1:7" x14ac:dyDescent="0.3">
      <c r="A35" t="s">
        <v>76</v>
      </c>
      <c r="B35" t="s">
        <v>77</v>
      </c>
      <c r="C35" t="s">
        <v>17</v>
      </c>
      <c r="D35" s="1">
        <v>45275</v>
      </c>
      <c r="E35" s="1">
        <v>45319</v>
      </c>
      <c r="F35">
        <v>87001</v>
      </c>
      <c r="G35">
        <v>0.19</v>
      </c>
    </row>
    <row r="36" spans="1:7" x14ac:dyDescent="0.3">
      <c r="A36" t="s">
        <v>78</v>
      </c>
      <c r="B36" t="s">
        <v>79</v>
      </c>
      <c r="C36" t="s">
        <v>20</v>
      </c>
      <c r="D36" s="1">
        <v>45356</v>
      </c>
      <c r="E36" s="1">
        <v>45406</v>
      </c>
      <c r="F36">
        <v>48431</v>
      </c>
      <c r="G36">
        <v>0.2</v>
      </c>
    </row>
    <row r="37" spans="1:7" x14ac:dyDescent="0.3">
      <c r="A37" t="s">
        <v>80</v>
      </c>
      <c r="B37" t="s">
        <v>81</v>
      </c>
      <c r="C37" t="s">
        <v>31</v>
      </c>
      <c r="D37" s="1">
        <v>44700</v>
      </c>
      <c r="E37" s="1">
        <v>44730</v>
      </c>
      <c r="F37">
        <v>32747</v>
      </c>
      <c r="G37">
        <v>0.16</v>
      </c>
    </row>
    <row r="38" spans="1:7" x14ac:dyDescent="0.3">
      <c r="A38" t="s">
        <v>82</v>
      </c>
      <c r="B38" t="s">
        <v>83</v>
      </c>
      <c r="C38" t="s">
        <v>17</v>
      </c>
      <c r="D38" s="1">
        <v>44760</v>
      </c>
      <c r="E38" s="1">
        <v>44816</v>
      </c>
      <c r="F38">
        <v>88319</v>
      </c>
      <c r="G38">
        <v>0.2</v>
      </c>
    </row>
    <row r="39" spans="1:7" x14ac:dyDescent="0.3">
      <c r="A39" t="s">
        <v>84</v>
      </c>
      <c r="B39" t="s">
        <v>85</v>
      </c>
      <c r="C39" t="s">
        <v>8</v>
      </c>
      <c r="D39" s="1">
        <v>44980</v>
      </c>
      <c r="E39" s="1">
        <v>45010</v>
      </c>
      <c r="F39">
        <v>89150</v>
      </c>
      <c r="G39">
        <v>0.15</v>
      </c>
    </row>
    <row r="40" spans="1:7" x14ac:dyDescent="0.3">
      <c r="A40" t="s">
        <v>86</v>
      </c>
      <c r="B40" t="s">
        <v>87</v>
      </c>
      <c r="C40" t="s">
        <v>12</v>
      </c>
      <c r="D40" s="1">
        <v>44812</v>
      </c>
      <c r="E40" s="1">
        <v>44835</v>
      </c>
      <c r="F40">
        <v>30189</v>
      </c>
      <c r="G40">
        <v>0.15</v>
      </c>
    </row>
    <row r="41" spans="1:7" x14ac:dyDescent="0.3">
      <c r="A41" t="s">
        <v>88</v>
      </c>
      <c r="B41" t="s">
        <v>89</v>
      </c>
      <c r="C41" t="s">
        <v>31</v>
      </c>
      <c r="D41" s="1">
        <v>44797</v>
      </c>
      <c r="E41" s="1">
        <v>44809</v>
      </c>
      <c r="F41">
        <v>49118</v>
      </c>
      <c r="G41">
        <v>0.14000000000000001</v>
      </c>
    </row>
    <row r="42" spans="1:7" x14ac:dyDescent="0.3">
      <c r="A42" t="s">
        <v>90</v>
      </c>
      <c r="B42" t="s">
        <v>91</v>
      </c>
      <c r="C42" t="s">
        <v>9</v>
      </c>
      <c r="D42" s="1">
        <v>44929</v>
      </c>
      <c r="E42" s="1">
        <v>44962</v>
      </c>
      <c r="F42">
        <v>65773</v>
      </c>
      <c r="G42">
        <v>0.06</v>
      </c>
    </row>
    <row r="43" spans="1:7" x14ac:dyDescent="0.3">
      <c r="A43" t="s">
        <v>92</v>
      </c>
      <c r="B43" t="s">
        <v>93</v>
      </c>
      <c r="C43" t="s">
        <v>9</v>
      </c>
      <c r="D43" s="1">
        <v>45231</v>
      </c>
      <c r="E43" s="1">
        <v>45262</v>
      </c>
      <c r="F43">
        <v>83810</v>
      </c>
      <c r="G43">
        <v>7.0000000000000007E-2</v>
      </c>
    </row>
    <row r="44" spans="1:7" x14ac:dyDescent="0.3">
      <c r="A44" t="s">
        <v>94</v>
      </c>
      <c r="B44" t="s">
        <v>95</v>
      </c>
      <c r="C44" t="s">
        <v>9</v>
      </c>
      <c r="D44" s="1">
        <v>44717</v>
      </c>
      <c r="E44" s="1">
        <v>44752</v>
      </c>
      <c r="F44">
        <v>31899</v>
      </c>
      <c r="G44">
        <v>0.06</v>
      </c>
    </row>
    <row r="45" spans="1:7" x14ac:dyDescent="0.3">
      <c r="A45" t="s">
        <v>96</v>
      </c>
      <c r="B45" t="s">
        <v>97</v>
      </c>
      <c r="C45" t="s">
        <v>17</v>
      </c>
      <c r="D45" s="1">
        <v>45221</v>
      </c>
      <c r="E45" s="1">
        <v>45276</v>
      </c>
      <c r="F45">
        <v>86886</v>
      </c>
      <c r="G45">
        <v>0.18</v>
      </c>
    </row>
    <row r="46" spans="1:7" x14ac:dyDescent="0.3">
      <c r="A46" t="s">
        <v>98</v>
      </c>
      <c r="B46" t="s">
        <v>99</v>
      </c>
      <c r="C46" t="s">
        <v>12</v>
      </c>
      <c r="D46" s="1">
        <v>44782</v>
      </c>
      <c r="E46" s="1">
        <v>44804</v>
      </c>
      <c r="F46">
        <v>31267</v>
      </c>
      <c r="G46">
        <v>0.11</v>
      </c>
    </row>
    <row r="47" spans="1:7" x14ac:dyDescent="0.3">
      <c r="A47" t="s">
        <v>100</v>
      </c>
      <c r="B47" t="s">
        <v>8</v>
      </c>
      <c r="C47" t="s">
        <v>9</v>
      </c>
      <c r="D47" s="1">
        <v>45210</v>
      </c>
      <c r="E47" s="1">
        <v>45252</v>
      </c>
      <c r="F47">
        <v>61551</v>
      </c>
      <c r="G47">
        <v>0.15</v>
      </c>
    </row>
    <row r="48" spans="1:7" x14ac:dyDescent="0.3">
      <c r="A48" t="s">
        <v>101</v>
      </c>
      <c r="B48" t="s">
        <v>102</v>
      </c>
      <c r="C48" t="s">
        <v>31</v>
      </c>
      <c r="D48" s="1">
        <v>44582</v>
      </c>
      <c r="E48" s="1">
        <v>44615</v>
      </c>
      <c r="F48">
        <v>80680</v>
      </c>
      <c r="G48">
        <v>0.23</v>
      </c>
    </row>
    <row r="49" spans="1:7" x14ac:dyDescent="0.3">
      <c r="A49" t="s">
        <v>103</v>
      </c>
      <c r="B49" t="s">
        <v>104</v>
      </c>
      <c r="C49" t="s">
        <v>8</v>
      </c>
      <c r="D49" s="1">
        <v>44617</v>
      </c>
      <c r="E49" s="1">
        <v>44675</v>
      </c>
      <c r="F49">
        <v>41394</v>
      </c>
      <c r="G49">
        <v>0.1</v>
      </c>
    </row>
    <row r="50" spans="1:7" x14ac:dyDescent="0.3">
      <c r="A50" t="s">
        <v>105</v>
      </c>
      <c r="B50" t="s">
        <v>106</v>
      </c>
      <c r="C50" t="s">
        <v>17</v>
      </c>
      <c r="D50" s="1">
        <v>44577</v>
      </c>
      <c r="E50" s="1">
        <v>44620</v>
      </c>
      <c r="F50">
        <v>33556</v>
      </c>
      <c r="G50">
        <v>0.13</v>
      </c>
    </row>
    <row r="51" spans="1:7" x14ac:dyDescent="0.3">
      <c r="A51" t="s">
        <v>107</v>
      </c>
      <c r="B51" t="s">
        <v>108</v>
      </c>
      <c r="C51" t="s">
        <v>17</v>
      </c>
      <c r="D51" s="1">
        <v>44629</v>
      </c>
      <c r="E51" s="1">
        <v>44639</v>
      </c>
      <c r="F51">
        <v>33890</v>
      </c>
      <c r="G51">
        <v>0.2</v>
      </c>
    </row>
    <row r="52" spans="1:7" x14ac:dyDescent="0.3">
      <c r="A52" t="s">
        <v>109</v>
      </c>
      <c r="B52" t="s">
        <v>110</v>
      </c>
      <c r="C52" t="s">
        <v>8</v>
      </c>
      <c r="D52" s="1">
        <v>44865</v>
      </c>
      <c r="E52" s="1">
        <v>44907</v>
      </c>
      <c r="F52">
        <v>71606</v>
      </c>
      <c r="G52">
        <v>0.1</v>
      </c>
    </row>
    <row r="53" spans="1:7" x14ac:dyDescent="0.3">
      <c r="A53" t="s">
        <v>111</v>
      </c>
      <c r="B53" t="s">
        <v>112</v>
      </c>
      <c r="C53" t="s">
        <v>12</v>
      </c>
      <c r="D53" s="1">
        <v>44846</v>
      </c>
      <c r="E53" s="1">
        <v>44867</v>
      </c>
      <c r="F53">
        <v>60740</v>
      </c>
      <c r="G53">
        <v>7.0000000000000007E-2</v>
      </c>
    </row>
    <row r="54" spans="1:7" x14ac:dyDescent="0.3">
      <c r="A54" t="s">
        <v>113</v>
      </c>
      <c r="B54" t="s">
        <v>114</v>
      </c>
      <c r="C54" t="s">
        <v>12</v>
      </c>
      <c r="D54" s="1">
        <v>45016</v>
      </c>
      <c r="E54" s="1">
        <v>45063</v>
      </c>
      <c r="F54">
        <v>44502</v>
      </c>
      <c r="G54">
        <v>0.11</v>
      </c>
    </row>
    <row r="55" spans="1:7" x14ac:dyDescent="0.3">
      <c r="A55" t="s">
        <v>115</v>
      </c>
      <c r="B55" t="s">
        <v>116</v>
      </c>
      <c r="C55" t="s">
        <v>9</v>
      </c>
      <c r="D55" s="1">
        <v>45240</v>
      </c>
      <c r="E55" s="1">
        <v>45252</v>
      </c>
      <c r="F55">
        <v>51777</v>
      </c>
      <c r="G55">
        <v>0.08</v>
      </c>
    </row>
    <row r="56" spans="1:7" x14ac:dyDescent="0.3">
      <c r="A56" t="s">
        <v>117</v>
      </c>
      <c r="B56" t="s">
        <v>118</v>
      </c>
      <c r="C56" t="s">
        <v>8</v>
      </c>
      <c r="D56" s="1">
        <v>44662</v>
      </c>
      <c r="E56" s="1">
        <v>44712</v>
      </c>
      <c r="F56">
        <v>40627</v>
      </c>
      <c r="G56">
        <v>0.24</v>
      </c>
    </row>
    <row r="57" spans="1:7" x14ac:dyDescent="0.3">
      <c r="A57" t="s">
        <v>119</v>
      </c>
      <c r="B57" t="s">
        <v>120</v>
      </c>
      <c r="C57" t="s">
        <v>17</v>
      </c>
      <c r="D57" s="1">
        <v>44695</v>
      </c>
      <c r="E57" s="1">
        <v>44705</v>
      </c>
      <c r="F57">
        <v>38792</v>
      </c>
      <c r="G57">
        <v>0.21</v>
      </c>
    </row>
    <row r="58" spans="1:7" x14ac:dyDescent="0.3">
      <c r="A58" t="s">
        <v>121</v>
      </c>
      <c r="B58" t="s">
        <v>122</v>
      </c>
      <c r="C58" t="s">
        <v>9</v>
      </c>
      <c r="D58" s="1">
        <v>45076</v>
      </c>
      <c r="E58" s="1">
        <v>45099</v>
      </c>
      <c r="F58">
        <v>73323</v>
      </c>
      <c r="G58">
        <v>0.18</v>
      </c>
    </row>
    <row r="59" spans="1:7" x14ac:dyDescent="0.3">
      <c r="A59" t="s">
        <v>123</v>
      </c>
      <c r="B59" t="s">
        <v>124</v>
      </c>
      <c r="C59" t="s">
        <v>17</v>
      </c>
      <c r="D59" s="1">
        <v>44702</v>
      </c>
      <c r="E59" s="1">
        <v>44749</v>
      </c>
      <c r="F59">
        <v>73021</v>
      </c>
      <c r="G59">
        <v>0.22</v>
      </c>
    </row>
    <row r="60" spans="1:7" x14ac:dyDescent="0.3">
      <c r="A60" t="s">
        <v>125</v>
      </c>
      <c r="B60" t="s">
        <v>126</v>
      </c>
      <c r="C60" t="s">
        <v>12</v>
      </c>
      <c r="D60" s="1">
        <v>45052</v>
      </c>
      <c r="E60" s="1">
        <v>45068</v>
      </c>
      <c r="F60">
        <v>38433</v>
      </c>
      <c r="G60">
        <v>0.21</v>
      </c>
    </row>
    <row r="61" spans="1:7" x14ac:dyDescent="0.3">
      <c r="A61" t="s">
        <v>127</v>
      </c>
      <c r="B61" t="s">
        <v>128</v>
      </c>
      <c r="C61" t="s">
        <v>31</v>
      </c>
      <c r="D61" s="1">
        <v>45082</v>
      </c>
      <c r="E61" s="1">
        <v>45108</v>
      </c>
      <c r="F61">
        <v>73001</v>
      </c>
      <c r="G61">
        <v>0.09</v>
      </c>
    </row>
    <row r="62" spans="1:7" x14ac:dyDescent="0.3">
      <c r="A62" t="s">
        <v>129</v>
      </c>
      <c r="B62" t="s">
        <v>8</v>
      </c>
      <c r="C62" t="s">
        <v>31</v>
      </c>
      <c r="D62" s="1">
        <v>45121</v>
      </c>
      <c r="E62" s="1">
        <v>45146</v>
      </c>
      <c r="F62">
        <v>41016</v>
      </c>
      <c r="G62">
        <v>0.23</v>
      </c>
    </row>
    <row r="63" spans="1:7" x14ac:dyDescent="0.3">
      <c r="A63" t="s">
        <v>130</v>
      </c>
      <c r="B63" t="s">
        <v>131</v>
      </c>
      <c r="C63" t="s">
        <v>8</v>
      </c>
      <c r="D63" s="1">
        <v>45081</v>
      </c>
      <c r="E63" s="1">
        <v>45092</v>
      </c>
      <c r="F63">
        <v>53897</v>
      </c>
      <c r="G63">
        <v>0.16</v>
      </c>
    </row>
    <row r="64" spans="1:7" x14ac:dyDescent="0.3">
      <c r="A64" t="s">
        <v>132</v>
      </c>
      <c r="B64" t="s">
        <v>133</v>
      </c>
      <c r="C64" t="s">
        <v>17</v>
      </c>
      <c r="D64" s="1">
        <v>44682</v>
      </c>
      <c r="E64" s="1">
        <v>44728</v>
      </c>
      <c r="F64">
        <v>32612</v>
      </c>
      <c r="G64">
        <v>0.21</v>
      </c>
    </row>
    <row r="65" spans="1:7" x14ac:dyDescent="0.3">
      <c r="A65" t="s">
        <v>134</v>
      </c>
      <c r="B65" t="s">
        <v>135</v>
      </c>
      <c r="C65" t="s">
        <v>17</v>
      </c>
      <c r="D65" s="1">
        <v>44906</v>
      </c>
      <c r="E65" s="1">
        <v>44932</v>
      </c>
      <c r="F65">
        <v>86193</v>
      </c>
      <c r="G65">
        <v>0.23</v>
      </c>
    </row>
    <row r="66" spans="1:7" x14ac:dyDescent="0.3">
      <c r="A66" t="s">
        <v>136</v>
      </c>
      <c r="B66" t="s">
        <v>137</v>
      </c>
      <c r="C66" t="s">
        <v>12</v>
      </c>
      <c r="D66" s="1">
        <v>44654</v>
      </c>
      <c r="E66" s="1">
        <v>44705</v>
      </c>
      <c r="F66">
        <v>88707</v>
      </c>
      <c r="G66">
        <v>0.11</v>
      </c>
    </row>
    <row r="67" spans="1:7" x14ac:dyDescent="0.3">
      <c r="A67" t="s">
        <v>138</v>
      </c>
      <c r="B67" t="s">
        <v>139</v>
      </c>
      <c r="C67" t="s">
        <v>31</v>
      </c>
      <c r="D67" s="1">
        <v>45266</v>
      </c>
      <c r="E67" s="1">
        <v>45289</v>
      </c>
      <c r="F67">
        <v>85387</v>
      </c>
      <c r="G67">
        <v>7.0000000000000007E-2</v>
      </c>
    </row>
    <row r="68" spans="1:7" x14ac:dyDescent="0.3">
      <c r="A68" t="s">
        <v>140</v>
      </c>
      <c r="B68" t="s">
        <v>141</v>
      </c>
      <c r="C68" t="s">
        <v>8</v>
      </c>
      <c r="D68" s="1">
        <v>45333</v>
      </c>
      <c r="E68" s="1">
        <v>45344</v>
      </c>
      <c r="F68">
        <v>84638</v>
      </c>
      <c r="G68">
        <v>0.1</v>
      </c>
    </row>
    <row r="69" spans="1:7" x14ac:dyDescent="0.3">
      <c r="A69" t="s">
        <v>142</v>
      </c>
      <c r="B69" t="s">
        <v>143</v>
      </c>
      <c r="C69" t="s">
        <v>12</v>
      </c>
      <c r="D69" s="1">
        <v>44982</v>
      </c>
      <c r="E69" s="1">
        <v>45015</v>
      </c>
      <c r="F69">
        <v>53483</v>
      </c>
      <c r="G69">
        <v>0.14000000000000001</v>
      </c>
    </row>
    <row r="70" spans="1:7" x14ac:dyDescent="0.3">
      <c r="A70" t="s">
        <v>144</v>
      </c>
      <c r="B70" t="s">
        <v>145</v>
      </c>
      <c r="C70" t="s">
        <v>12</v>
      </c>
      <c r="D70" s="1">
        <v>44927</v>
      </c>
      <c r="E70" s="1">
        <v>44948</v>
      </c>
      <c r="F70">
        <v>88822</v>
      </c>
      <c r="G70">
        <v>0.21</v>
      </c>
    </row>
    <row r="71" spans="1:7" x14ac:dyDescent="0.3">
      <c r="A71" t="s">
        <v>146</v>
      </c>
      <c r="B71" t="s">
        <v>147</v>
      </c>
      <c r="C71" t="s">
        <v>8</v>
      </c>
      <c r="D71" s="1">
        <v>44612</v>
      </c>
      <c r="E71" s="1">
        <v>44665</v>
      </c>
      <c r="F71">
        <v>78555</v>
      </c>
      <c r="G71">
        <v>0.22</v>
      </c>
    </row>
    <row r="72" spans="1:7" x14ac:dyDescent="0.3">
      <c r="A72" t="s">
        <v>148</v>
      </c>
      <c r="B72" t="s">
        <v>149</v>
      </c>
      <c r="C72" t="s">
        <v>12</v>
      </c>
      <c r="D72" s="1">
        <v>45039</v>
      </c>
      <c r="E72" s="1">
        <v>45061</v>
      </c>
      <c r="F72">
        <v>89900</v>
      </c>
      <c r="G72">
        <v>0.05</v>
      </c>
    </row>
    <row r="73" spans="1:7" x14ac:dyDescent="0.3">
      <c r="A73" t="s">
        <v>150</v>
      </c>
      <c r="B73" t="s">
        <v>151</v>
      </c>
      <c r="C73" t="s">
        <v>8</v>
      </c>
      <c r="D73" s="1">
        <v>45349</v>
      </c>
      <c r="E73" s="1">
        <v>45376</v>
      </c>
      <c r="F73">
        <v>47159</v>
      </c>
      <c r="G73">
        <v>0.15</v>
      </c>
    </row>
    <row r="74" spans="1:7" x14ac:dyDescent="0.3">
      <c r="A74" t="s">
        <v>152</v>
      </c>
      <c r="B74" t="s">
        <v>153</v>
      </c>
      <c r="C74" t="s">
        <v>17</v>
      </c>
      <c r="D74" s="1">
        <v>44939</v>
      </c>
      <c r="E74" s="1">
        <v>44961</v>
      </c>
      <c r="F74">
        <v>74974</v>
      </c>
      <c r="G74">
        <v>0.13</v>
      </c>
    </row>
    <row r="75" spans="1:7" x14ac:dyDescent="0.3">
      <c r="A75" t="s">
        <v>154</v>
      </c>
      <c r="B75" t="s">
        <v>155</v>
      </c>
      <c r="C75" t="s">
        <v>31</v>
      </c>
      <c r="D75" s="1">
        <v>44970</v>
      </c>
      <c r="E75" s="1">
        <v>45010</v>
      </c>
      <c r="F75">
        <v>70994</v>
      </c>
      <c r="G75">
        <v>0.09</v>
      </c>
    </row>
    <row r="76" spans="1:7" x14ac:dyDescent="0.3">
      <c r="A76" t="s">
        <v>156</v>
      </c>
      <c r="B76" t="s">
        <v>157</v>
      </c>
      <c r="C76" t="s">
        <v>12</v>
      </c>
      <c r="D76" s="1">
        <v>45284</v>
      </c>
      <c r="E76" s="1">
        <v>45336</v>
      </c>
      <c r="F76">
        <v>44541</v>
      </c>
      <c r="G76">
        <v>7.0000000000000007E-2</v>
      </c>
    </row>
    <row r="77" spans="1:7" x14ac:dyDescent="0.3">
      <c r="A77" t="s">
        <v>158</v>
      </c>
      <c r="B77" t="s">
        <v>8</v>
      </c>
      <c r="C77" t="s">
        <v>12</v>
      </c>
      <c r="D77" s="1">
        <v>44992</v>
      </c>
      <c r="E77" s="1">
        <v>45011</v>
      </c>
      <c r="F77">
        <v>65920</v>
      </c>
      <c r="G77">
        <v>0.12</v>
      </c>
    </row>
    <row r="78" spans="1:7" x14ac:dyDescent="0.3">
      <c r="A78" t="s">
        <v>159</v>
      </c>
      <c r="B78" t="s">
        <v>160</v>
      </c>
      <c r="C78" t="s">
        <v>31</v>
      </c>
      <c r="D78" s="1">
        <v>45061</v>
      </c>
      <c r="E78" s="1">
        <v>45095</v>
      </c>
      <c r="F78">
        <v>56531</v>
      </c>
      <c r="G78">
        <v>0.24</v>
      </c>
    </row>
    <row r="79" spans="1:7" x14ac:dyDescent="0.3">
      <c r="A79" t="s">
        <v>161</v>
      </c>
      <c r="B79" t="s">
        <v>162</v>
      </c>
      <c r="C79" t="s">
        <v>17</v>
      </c>
      <c r="D79" s="1">
        <v>45326</v>
      </c>
      <c r="E79" s="1">
        <v>45382</v>
      </c>
      <c r="F79">
        <v>31585</v>
      </c>
      <c r="G79">
        <v>0.11</v>
      </c>
    </row>
    <row r="80" spans="1:7" x14ac:dyDescent="0.3">
      <c r="A80" t="s">
        <v>163</v>
      </c>
      <c r="B80" t="s">
        <v>164</v>
      </c>
      <c r="C80" t="s">
        <v>9</v>
      </c>
      <c r="D80" s="1">
        <v>45059</v>
      </c>
      <c r="E80" s="1">
        <v>45113</v>
      </c>
      <c r="F80">
        <v>33943</v>
      </c>
      <c r="G80">
        <v>0.15</v>
      </c>
    </row>
    <row r="81" spans="1:7" x14ac:dyDescent="0.3">
      <c r="A81" t="s">
        <v>165</v>
      </c>
      <c r="B81" t="s">
        <v>166</v>
      </c>
      <c r="C81" t="s">
        <v>17</v>
      </c>
      <c r="D81" s="1">
        <v>44569</v>
      </c>
      <c r="E81" s="1">
        <v>44594</v>
      </c>
      <c r="F81">
        <v>53939</v>
      </c>
      <c r="G81">
        <v>0.19</v>
      </c>
    </row>
    <row r="82" spans="1:7" x14ac:dyDescent="0.3">
      <c r="A82" t="s">
        <v>167</v>
      </c>
      <c r="B82" t="s">
        <v>168</v>
      </c>
      <c r="C82" t="s">
        <v>12</v>
      </c>
      <c r="D82" s="1">
        <v>45226</v>
      </c>
      <c r="E82" s="1">
        <v>45239</v>
      </c>
      <c r="F82">
        <v>49457</v>
      </c>
      <c r="G82">
        <v>0.12</v>
      </c>
    </row>
    <row r="83" spans="1:7" x14ac:dyDescent="0.3">
      <c r="A83" t="s">
        <v>169</v>
      </c>
      <c r="B83" t="s">
        <v>170</v>
      </c>
      <c r="C83" t="s">
        <v>9</v>
      </c>
      <c r="D83" s="1">
        <v>44708</v>
      </c>
      <c r="E83" s="1">
        <v>44764</v>
      </c>
      <c r="F83">
        <v>31021</v>
      </c>
      <c r="G83">
        <v>0.24</v>
      </c>
    </row>
    <row r="84" spans="1:7" x14ac:dyDescent="0.3">
      <c r="A84" t="s">
        <v>171</v>
      </c>
      <c r="B84" t="s">
        <v>172</v>
      </c>
      <c r="C84" t="s">
        <v>20</v>
      </c>
      <c r="D84" s="1">
        <v>44617</v>
      </c>
      <c r="E84" s="1">
        <v>44636</v>
      </c>
      <c r="F84">
        <v>41653</v>
      </c>
      <c r="G84">
        <v>0.24</v>
      </c>
    </row>
    <row r="85" spans="1:7" x14ac:dyDescent="0.3">
      <c r="A85" t="s">
        <v>173</v>
      </c>
      <c r="B85" t="s">
        <v>174</v>
      </c>
      <c r="C85" t="s">
        <v>9</v>
      </c>
      <c r="D85" s="1">
        <v>44921</v>
      </c>
      <c r="E85" s="1">
        <v>44931</v>
      </c>
      <c r="F85">
        <v>73573</v>
      </c>
      <c r="G85">
        <v>0.1</v>
      </c>
    </row>
    <row r="86" spans="1:7" x14ac:dyDescent="0.3">
      <c r="A86" t="s">
        <v>175</v>
      </c>
      <c r="B86" t="s">
        <v>176</v>
      </c>
      <c r="C86" t="s">
        <v>8</v>
      </c>
      <c r="D86" s="1">
        <v>45319</v>
      </c>
      <c r="E86" s="1">
        <v>45378</v>
      </c>
      <c r="F86">
        <v>43417</v>
      </c>
      <c r="G86">
        <v>0.15</v>
      </c>
    </row>
    <row r="87" spans="1:7" x14ac:dyDescent="0.3">
      <c r="A87" t="s">
        <v>177</v>
      </c>
      <c r="B87" t="s">
        <v>178</v>
      </c>
      <c r="C87" t="s">
        <v>12</v>
      </c>
      <c r="D87" s="1">
        <v>44929</v>
      </c>
      <c r="E87" s="1">
        <v>44941</v>
      </c>
      <c r="F87">
        <v>82995</v>
      </c>
      <c r="G87">
        <v>0.11</v>
      </c>
    </row>
    <row r="88" spans="1:7" x14ac:dyDescent="0.3">
      <c r="A88" t="s">
        <v>179</v>
      </c>
      <c r="B88" t="s">
        <v>180</v>
      </c>
      <c r="C88" t="s">
        <v>12</v>
      </c>
      <c r="D88" s="1">
        <v>45151</v>
      </c>
      <c r="E88" s="1">
        <v>45166</v>
      </c>
      <c r="F88">
        <v>70757</v>
      </c>
      <c r="G88">
        <v>0.11</v>
      </c>
    </row>
    <row r="89" spans="1:7" x14ac:dyDescent="0.3">
      <c r="A89" t="s">
        <v>181</v>
      </c>
      <c r="B89" t="s">
        <v>182</v>
      </c>
      <c r="C89" t="s">
        <v>12</v>
      </c>
      <c r="D89" s="1">
        <v>45110</v>
      </c>
      <c r="E89" s="1">
        <v>45165</v>
      </c>
      <c r="F89">
        <v>39692</v>
      </c>
      <c r="G89">
        <v>0.06</v>
      </c>
    </row>
    <row r="90" spans="1:7" x14ac:dyDescent="0.3">
      <c r="A90" t="s">
        <v>183</v>
      </c>
      <c r="B90" t="s">
        <v>184</v>
      </c>
      <c r="C90" t="s">
        <v>12</v>
      </c>
      <c r="D90" s="1">
        <v>45059</v>
      </c>
      <c r="E90" s="1">
        <v>45089</v>
      </c>
      <c r="F90">
        <v>75758</v>
      </c>
      <c r="G90">
        <v>0.17</v>
      </c>
    </row>
    <row r="91" spans="1:7" x14ac:dyDescent="0.3">
      <c r="A91" t="s">
        <v>185</v>
      </c>
      <c r="B91" t="s">
        <v>186</v>
      </c>
      <c r="C91" t="s">
        <v>8</v>
      </c>
      <c r="D91" s="1">
        <v>45086</v>
      </c>
      <c r="E91" s="1">
        <v>45120</v>
      </c>
      <c r="F91">
        <v>36873</v>
      </c>
      <c r="G91">
        <v>0.15</v>
      </c>
    </row>
    <row r="92" spans="1:7" x14ac:dyDescent="0.3">
      <c r="A92" t="s">
        <v>187</v>
      </c>
      <c r="B92" t="s">
        <v>8</v>
      </c>
      <c r="C92" t="s">
        <v>20</v>
      </c>
      <c r="D92" s="1">
        <v>45298</v>
      </c>
      <c r="E92" s="1">
        <v>45323</v>
      </c>
      <c r="F92">
        <v>35675</v>
      </c>
      <c r="G92">
        <v>0.06</v>
      </c>
    </row>
    <row r="93" spans="1:7" x14ac:dyDescent="0.3">
      <c r="A93" t="s">
        <v>188</v>
      </c>
      <c r="B93" t="s">
        <v>189</v>
      </c>
      <c r="C93" t="s">
        <v>17</v>
      </c>
      <c r="D93" s="1">
        <v>45127</v>
      </c>
      <c r="E93" s="1">
        <v>45173</v>
      </c>
      <c r="F93">
        <v>30161</v>
      </c>
      <c r="G93">
        <v>0.11</v>
      </c>
    </row>
    <row r="94" spans="1:7" x14ac:dyDescent="0.3">
      <c r="A94" t="s">
        <v>190</v>
      </c>
      <c r="B94" t="s">
        <v>191</v>
      </c>
      <c r="C94" t="s">
        <v>12</v>
      </c>
      <c r="D94" s="1">
        <v>45150</v>
      </c>
      <c r="E94" s="1">
        <v>45194</v>
      </c>
      <c r="F94">
        <v>67065</v>
      </c>
      <c r="G94">
        <v>0.23</v>
      </c>
    </row>
    <row r="95" spans="1:7" x14ac:dyDescent="0.3">
      <c r="A95" t="s">
        <v>192</v>
      </c>
      <c r="B95" t="s">
        <v>193</v>
      </c>
      <c r="C95" t="s">
        <v>31</v>
      </c>
      <c r="D95" s="1">
        <v>44615</v>
      </c>
      <c r="E95" s="1">
        <v>44663</v>
      </c>
      <c r="F95">
        <v>56557</v>
      </c>
      <c r="G95">
        <v>0.1</v>
      </c>
    </row>
    <row r="96" spans="1:7" x14ac:dyDescent="0.3">
      <c r="A96" t="s">
        <v>194</v>
      </c>
      <c r="B96" t="s">
        <v>195</v>
      </c>
      <c r="C96" t="s">
        <v>12</v>
      </c>
      <c r="D96" s="1">
        <v>45348</v>
      </c>
      <c r="E96" s="1">
        <v>45394</v>
      </c>
      <c r="F96">
        <v>63763</v>
      </c>
      <c r="G96">
        <v>0.08</v>
      </c>
    </row>
    <row r="97" spans="1:7" x14ac:dyDescent="0.3">
      <c r="A97" t="s">
        <v>196</v>
      </c>
      <c r="B97" t="s">
        <v>197</v>
      </c>
      <c r="C97" t="s">
        <v>12</v>
      </c>
      <c r="D97" s="1">
        <v>44871</v>
      </c>
      <c r="E97" s="1">
        <v>44895</v>
      </c>
      <c r="F97">
        <v>62606</v>
      </c>
      <c r="G97">
        <v>0.15</v>
      </c>
    </row>
    <row r="98" spans="1:7" x14ac:dyDescent="0.3">
      <c r="A98" t="s">
        <v>198</v>
      </c>
      <c r="B98" t="s">
        <v>199</v>
      </c>
      <c r="C98" t="s">
        <v>8</v>
      </c>
      <c r="D98" s="1">
        <v>44648</v>
      </c>
      <c r="E98" s="1">
        <v>44659</v>
      </c>
      <c r="F98">
        <v>41534</v>
      </c>
      <c r="G98">
        <v>0.25</v>
      </c>
    </row>
    <row r="99" spans="1:7" x14ac:dyDescent="0.3">
      <c r="A99" t="s">
        <v>200</v>
      </c>
      <c r="B99" t="s">
        <v>201</v>
      </c>
      <c r="C99" t="s">
        <v>8</v>
      </c>
      <c r="D99" s="1">
        <v>45097</v>
      </c>
      <c r="E99" s="1">
        <v>45137</v>
      </c>
      <c r="F99">
        <v>59127</v>
      </c>
      <c r="G99">
        <v>0.1</v>
      </c>
    </row>
    <row r="100" spans="1:7" x14ac:dyDescent="0.3">
      <c r="A100" t="s">
        <v>202</v>
      </c>
      <c r="B100" t="s">
        <v>203</v>
      </c>
      <c r="C100" t="s">
        <v>9</v>
      </c>
      <c r="D100" s="1">
        <v>45290</v>
      </c>
      <c r="E100" s="1">
        <v>45311</v>
      </c>
      <c r="F100">
        <v>70397</v>
      </c>
      <c r="G100">
        <v>0.18</v>
      </c>
    </row>
    <row r="101" spans="1:7" x14ac:dyDescent="0.3">
      <c r="A101" t="s">
        <v>204</v>
      </c>
      <c r="B101" t="s">
        <v>205</v>
      </c>
      <c r="C101" t="s">
        <v>12</v>
      </c>
      <c r="D101" s="1">
        <v>45119</v>
      </c>
      <c r="E101" s="1">
        <v>45140</v>
      </c>
      <c r="F101">
        <v>55851</v>
      </c>
      <c r="G101">
        <v>0.2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>
      <selection activeCell="F9" sqref="F9"/>
    </sheetView>
  </sheetViews>
  <sheetFormatPr defaultColWidth="8.6640625" defaultRowHeight="14.4" x14ac:dyDescent="0.3"/>
  <cols>
    <col min="1" max="1" width="11.109375" customWidth="1"/>
    <col min="2" max="2" width="16" customWidth="1"/>
    <col min="3" max="3" width="10" customWidth="1"/>
  </cols>
  <sheetData>
    <row r="1" spans="1:3" x14ac:dyDescent="0.3">
      <c r="A1" s="5" t="s">
        <v>2</v>
      </c>
      <c r="B1" s="5" t="s">
        <v>206</v>
      </c>
      <c r="C1" s="5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zoomScaleNormal="100" workbookViewId="0">
      <selection activeCell="B9" sqref="B9"/>
    </sheetView>
  </sheetViews>
  <sheetFormatPr defaultColWidth="8.6640625" defaultRowHeight="14.4" x14ac:dyDescent="0.3"/>
  <cols>
    <col min="1" max="1" width="16.77734375" customWidth="1"/>
    <col min="2" max="2" width="24.88671875" customWidth="1"/>
    <col min="3" max="3" width="13" customWidth="1"/>
    <col min="4" max="5" width="17.77734375" customWidth="1"/>
    <col min="6" max="6" width="8" customWidth="1"/>
    <col min="7" max="7" width="10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218</v>
      </c>
      <c r="B2" t="s">
        <v>219</v>
      </c>
      <c r="C2" t="s">
        <v>31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topLeftCell="B1" zoomScaleNormal="100" workbookViewId="0">
      <selection activeCell="O9" sqref="O9"/>
    </sheetView>
  </sheetViews>
  <sheetFormatPr defaultColWidth="8.6640625" defaultRowHeight="14.4" x14ac:dyDescent="0.3"/>
  <cols>
    <col min="1" max="1" width="7.6640625" customWidth="1"/>
    <col min="2" max="2" width="16.77734375" customWidth="1"/>
    <col min="4" max="5" width="13.33203125" customWidth="1"/>
    <col min="6" max="7" width="10.77734375" customWidth="1"/>
    <col min="8" max="8" width="8.109375" customWidth="1"/>
    <col min="9" max="9" width="10.21875" customWidth="1"/>
    <col min="10" max="10" width="15.6640625" customWidth="1"/>
    <col min="11" max="11" width="18.21875" customWidth="1"/>
    <col min="12" max="12" width="10.21875" customWidth="1"/>
    <col min="13" max="13" width="24.88671875" customWidth="1"/>
  </cols>
  <sheetData>
    <row r="1" spans="1:13" x14ac:dyDescent="0.3">
      <c r="A1" t="s">
        <v>238</v>
      </c>
      <c r="B1" s="4" t="s">
        <v>0</v>
      </c>
      <c r="C1" s="4" t="s">
        <v>239</v>
      </c>
      <c r="D1" s="4" t="s">
        <v>240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241</v>
      </c>
      <c r="K1" s="4" t="s">
        <v>206</v>
      </c>
      <c r="L1" s="4" t="s">
        <v>207</v>
      </c>
      <c r="M1" s="4" t="s">
        <v>1</v>
      </c>
    </row>
    <row r="2" spans="1:13" x14ac:dyDescent="0.3">
      <c r="A2">
        <f t="shared" ref="A2:A33" si="0">ROW()-1</f>
        <v>1</v>
      </c>
      <c r="B2" t="str">
        <f>EmpTable!A2</f>
        <v>Employee 1</v>
      </c>
      <c r="C2" t="str">
        <f>IF(EXACT(EmpTable!B2,"NA"),"emp"&amp;A2,LEFT(EmpTable!B2,FIND("@",EmpTable!B2)-1))</f>
        <v>emp1</v>
      </c>
      <c r="D2" t="str">
        <f>IF(EXACT(EmpTable!B2,"NA"),"company.com",MID(EmpTable!B2,FIND("@",EmpTable!B2)+1,50))</f>
        <v>company.com</v>
      </c>
      <c r="E2" t="str">
        <f>EmpTable!C2</f>
        <v>Sales</v>
      </c>
      <c r="F2" s="1">
        <f>EmpTable!D2</f>
        <v>44844</v>
      </c>
      <c r="G2" s="1">
        <f>EmpTable!E2</f>
        <v>44895</v>
      </c>
      <c r="H2">
        <f>EmpTable!F2</f>
        <v>86422</v>
      </c>
      <c r="I2">
        <f>EmpTable!G2</f>
        <v>0.06</v>
      </c>
      <c r="J2">
        <f t="shared" ref="J2:J33" si="1">H2*I2</f>
        <v>5185.32</v>
      </c>
      <c r="K2" t="str">
        <f>IFERROR(INDEX(DepartmentData!$B$2:$B$6,MATCH(E2,DepartmentData!$A$2:$A$6,0)),"")</f>
        <v>Bob</v>
      </c>
      <c r="L2" t="str">
        <f>IFERROR(INDEX(DepartmentData!$C$2:$C$6,MATCH(E2,DepartmentData!$A$2:$A$6,0)),"")</f>
        <v>Delhi</v>
      </c>
      <c r="M2" t="str">
        <f>IF(EXACT(EmpTable!B2,"NA"),C2&amp;"@"&amp;D2,EmpTable!B2)</f>
        <v>emp1@company.com</v>
      </c>
    </row>
    <row r="3" spans="1:13" x14ac:dyDescent="0.3">
      <c r="A3">
        <f t="shared" si="0"/>
        <v>2</v>
      </c>
      <c r="B3" t="str">
        <f>EmpTable!A3</f>
        <v>Employee 2</v>
      </c>
      <c r="C3" t="str">
        <f>IF(EXACT(EmpTable!B3,"NA"),"emp"&amp;A3,LEFT(EmpTable!B3,FIND("@",EmpTable!B3)-1))</f>
        <v>emp2</v>
      </c>
      <c r="D3" t="str">
        <f>IF(EXACT(EmpTable!B3,"NA"),"company.com",MID(EmpTable!B3,FIND("@",EmpTable!B3)+1,50))</f>
        <v>company.com</v>
      </c>
      <c r="E3" t="str">
        <f>EmpTable!C3</f>
        <v>Finance</v>
      </c>
      <c r="F3" s="1">
        <f>EmpTable!D3</f>
        <v>45182</v>
      </c>
      <c r="G3" s="1">
        <f>EmpTable!E3</f>
        <v>45224</v>
      </c>
      <c r="H3">
        <f>EmpTable!F3</f>
        <v>45795</v>
      </c>
      <c r="I3">
        <f>EmpTable!G3</f>
        <v>0.12</v>
      </c>
      <c r="J3">
        <f t="shared" si="1"/>
        <v>5495.4</v>
      </c>
      <c r="K3" t="str">
        <f>IFERROR(INDEX(DepartmentData!$B$2:$B$6,MATCH(E3,DepartmentData!$A$2:$A$6,0)),"")</f>
        <v>Ethan</v>
      </c>
      <c r="L3" t="str">
        <f>IFERROR(INDEX(DepartmentData!$C$2:$C$6,MATCH(E3,DepartmentData!$A$2:$A$6,0)),"")</f>
        <v>Pune</v>
      </c>
      <c r="M3" t="str">
        <f>IF(EXACT(EmpTable!B3,"NA"),C3&amp;"@"&amp;D3,EmpTable!B3)</f>
        <v>emp2@company.com</v>
      </c>
    </row>
    <row r="4" spans="1:13" hidden="1" x14ac:dyDescent="0.3">
      <c r="A4">
        <f t="shared" si="0"/>
        <v>3</v>
      </c>
      <c r="B4" t="str">
        <f>EmpTable!A4</f>
        <v>Employee 3</v>
      </c>
      <c r="C4" t="str">
        <f>IF(EXACT(EmpTable!B4,"NA"),"emp"&amp;A4,LEFT(EmpTable!B4,FIND("@",EmpTable!B4)-1))</f>
        <v>emp3</v>
      </c>
      <c r="D4" t="str">
        <f>IF(EXACT(EmpTable!B4,"NA"),"company.com",MID(EmpTable!B4,FIND("@",EmpTable!B4)+1,50))</f>
        <v>company.com</v>
      </c>
      <c r="E4" t="str">
        <f>EmpTable!C4</f>
        <v>NA</v>
      </c>
      <c r="F4" s="1">
        <f>EmpTable!D4</f>
        <v>44784</v>
      </c>
      <c r="G4" s="1">
        <f>EmpTable!E4</f>
        <v>44806</v>
      </c>
      <c r="H4">
        <f>EmpTable!F4</f>
        <v>30860</v>
      </c>
      <c r="I4">
        <f>EmpTable!G4</f>
        <v>0.13</v>
      </c>
      <c r="J4">
        <f t="shared" si="1"/>
        <v>4011.8</v>
      </c>
      <c r="K4" t="str">
        <f>IFERROR(INDEX(DepartmentData!$B$2:$B$6,MATCH(E4,DepartmentData!$A$2:$A$6,0)),"")</f>
        <v/>
      </c>
      <c r="L4" t="str">
        <f>IFERROR(INDEX(DepartmentData!$C$2:$C$6,MATCH(E4,DepartmentData!$A$2:$A$6,0)),"")</f>
        <v/>
      </c>
      <c r="M4" t="str">
        <f>IF(EXACT(EmpTable!B4,"NA"),C4&amp;"@"&amp;D4,EmpTable!B4)</f>
        <v>emp3@company.com</v>
      </c>
    </row>
    <row r="5" spans="1:13" x14ac:dyDescent="0.3">
      <c r="A5">
        <f t="shared" si="0"/>
        <v>4</v>
      </c>
      <c r="B5" t="str">
        <f>EmpTable!A5</f>
        <v>Employee 4</v>
      </c>
      <c r="C5" t="str">
        <f>IF(EXACT(EmpTable!B5,"NA"),"emp"&amp;A5,LEFT(EmpTable!B5,FIND("@",EmpTable!B5)-1))</f>
        <v>emp4</v>
      </c>
      <c r="D5" t="str">
        <f>IF(EXACT(EmpTable!B5,"NA"),"company.com",MID(EmpTable!B5,FIND("@",EmpTable!B5)+1,50))</f>
        <v>company.com</v>
      </c>
      <c r="E5" t="str">
        <f>EmpTable!C5</f>
        <v>IT</v>
      </c>
      <c r="F5" s="1">
        <f>EmpTable!D5</f>
        <v>44723</v>
      </c>
      <c r="G5" s="1">
        <f>EmpTable!E5</f>
        <v>44777</v>
      </c>
      <c r="H5">
        <f>EmpTable!F5</f>
        <v>68158</v>
      </c>
      <c r="I5">
        <f>EmpTable!G5</f>
        <v>0.1</v>
      </c>
      <c r="J5">
        <f t="shared" si="1"/>
        <v>6815.8</v>
      </c>
      <c r="K5" t="str">
        <f>IFERROR(INDEX(DepartmentData!$B$2:$B$6,MATCH(E5,DepartmentData!$A$2:$A$6,0)),"")</f>
        <v>Diana</v>
      </c>
      <c r="L5" t="str">
        <f>IFERROR(INDEX(DepartmentData!$C$2:$C$6,MATCH(E5,DepartmentData!$A$2:$A$6,0)),"")</f>
        <v>Hyderabad</v>
      </c>
      <c r="M5" t="str">
        <f>IF(EXACT(EmpTable!B5,"NA"),C5&amp;"@"&amp;D5,EmpTable!B5)</f>
        <v>emp4@company.com</v>
      </c>
    </row>
    <row r="6" spans="1:13" x14ac:dyDescent="0.3">
      <c r="A6">
        <f t="shared" si="0"/>
        <v>5</v>
      </c>
      <c r="B6" t="str">
        <f>EmpTable!A6</f>
        <v>Employee 5</v>
      </c>
      <c r="C6" t="str">
        <f>IF(EXACT(EmpTable!B6,"NA"),"emp"&amp;A6,LEFT(EmpTable!B6,FIND("@",EmpTable!B6)-1))</f>
        <v>emp5</v>
      </c>
      <c r="D6" t="str">
        <f>IF(EXACT(EmpTable!B6,"NA"),"company.com",MID(EmpTable!B6,FIND("@",EmpTable!B6)+1,50))</f>
        <v>company.com</v>
      </c>
      <c r="E6" t="str">
        <f>EmpTable!C6</f>
        <v>HR</v>
      </c>
      <c r="F6" s="1">
        <f>EmpTable!D6</f>
        <v>45077</v>
      </c>
      <c r="G6" s="1">
        <f>EmpTable!E6</f>
        <v>45101</v>
      </c>
      <c r="H6">
        <f>EmpTable!F6</f>
        <v>84343</v>
      </c>
      <c r="I6">
        <f>EmpTable!G6</f>
        <v>0.22</v>
      </c>
      <c r="J6">
        <f t="shared" si="1"/>
        <v>18555.46</v>
      </c>
      <c r="K6" t="str">
        <f>IFERROR(INDEX(DepartmentData!$B$2:$B$6,MATCH(E6,DepartmentData!$A$2:$A$6,0)),"")</f>
        <v>Alice</v>
      </c>
      <c r="L6" t="str">
        <f>IFERROR(INDEX(DepartmentData!$C$2:$C$6,MATCH(E6,DepartmentData!$A$2:$A$6,0)),"")</f>
        <v>Mumbai</v>
      </c>
      <c r="M6" t="str">
        <f>IF(EXACT(EmpTable!B6,"NA"),C6&amp;"@"&amp;D6,EmpTable!B6)</f>
        <v>emp5@company.com</v>
      </c>
    </row>
    <row r="7" spans="1:13" hidden="1" x14ac:dyDescent="0.3">
      <c r="A7">
        <f t="shared" si="0"/>
        <v>6</v>
      </c>
      <c r="B7" t="str">
        <f>EmpTable!A7</f>
        <v>Employee 6</v>
      </c>
      <c r="C7" t="str">
        <f>IF(EXACT(EmpTable!B7,"NA"),"emp"&amp;A7,LEFT(EmpTable!B7,FIND("@",EmpTable!B7)-1))</f>
        <v>emp6</v>
      </c>
      <c r="D7" t="str">
        <f>IF(EXACT(EmpTable!B7,"NA"),"company.com",MID(EmpTable!B7,FIND("@",EmpTable!B7)+1,50))</f>
        <v>company.com</v>
      </c>
      <c r="E7" t="str">
        <f>EmpTable!C7</f>
        <v>NA</v>
      </c>
      <c r="F7" s="1">
        <f>EmpTable!D7</f>
        <v>44722</v>
      </c>
      <c r="G7" s="1">
        <f>EmpTable!E7</f>
        <v>44778</v>
      </c>
      <c r="H7">
        <f>EmpTable!F7</f>
        <v>74732</v>
      </c>
      <c r="I7">
        <f>EmpTable!G7</f>
        <v>0.12</v>
      </c>
      <c r="J7">
        <f t="shared" si="1"/>
        <v>8967.84</v>
      </c>
      <c r="K7" t="str">
        <f>IFERROR(INDEX(DepartmentData!$B$2:$B$6,MATCH(E7,DepartmentData!$A$2:$A$6,0)),"")</f>
        <v/>
      </c>
      <c r="L7" t="str">
        <f>IFERROR(INDEX(DepartmentData!$C$2:$C$6,MATCH(E7,DepartmentData!$A$2:$A$6,0)),"")</f>
        <v/>
      </c>
      <c r="M7" t="str">
        <f>IF(EXACT(EmpTable!B7,"NA"),C7&amp;"@"&amp;D7,EmpTable!B7)</f>
        <v>emp6@company.com</v>
      </c>
    </row>
    <row r="8" spans="1:13" x14ac:dyDescent="0.3">
      <c r="A8">
        <f t="shared" si="0"/>
        <v>7</v>
      </c>
      <c r="B8" t="str">
        <f>EmpTable!A8</f>
        <v>Employee 7</v>
      </c>
      <c r="C8" t="str">
        <f>IF(EXACT(EmpTable!B8,"NA"),"emp"&amp;A8,LEFT(EmpTable!B8,FIND("@",EmpTable!B8)-1))</f>
        <v>emp7</v>
      </c>
      <c r="D8" t="str">
        <f>IF(EXACT(EmpTable!B8,"NA"),"company.com",MID(EmpTable!B8,FIND("@",EmpTable!B8)+1,50))</f>
        <v>company.com</v>
      </c>
      <c r="E8" t="str">
        <f>EmpTable!C8</f>
        <v>Finance</v>
      </c>
      <c r="F8" s="1">
        <f>EmpTable!D8</f>
        <v>44940</v>
      </c>
      <c r="G8" s="1">
        <f>EmpTable!E8</f>
        <v>44962</v>
      </c>
      <c r="H8">
        <f>EmpTable!F8</f>
        <v>41284</v>
      </c>
      <c r="I8">
        <f>EmpTable!G8</f>
        <v>0.11</v>
      </c>
      <c r="J8">
        <f t="shared" si="1"/>
        <v>4541.24</v>
      </c>
      <c r="K8" t="str">
        <f>IFERROR(INDEX(DepartmentData!$B$2:$B$6,MATCH(E8,DepartmentData!$A$2:$A$6,0)),"")</f>
        <v>Ethan</v>
      </c>
      <c r="L8" t="str">
        <f>IFERROR(INDEX(DepartmentData!$C$2:$C$6,MATCH(E8,DepartmentData!$A$2:$A$6,0)),"")</f>
        <v>Pune</v>
      </c>
      <c r="M8" t="str">
        <f>IF(EXACT(EmpTable!B8,"NA"),C8&amp;"@"&amp;D8,EmpTable!B8)</f>
        <v>emp7@company.com</v>
      </c>
    </row>
    <row r="9" spans="1:13" x14ac:dyDescent="0.3">
      <c r="A9">
        <f t="shared" si="0"/>
        <v>8</v>
      </c>
      <c r="B9" t="str">
        <f>EmpTable!A9</f>
        <v>Employee 8</v>
      </c>
      <c r="C9" t="str">
        <f>IF(EXACT(EmpTable!B9,"NA"),"emp"&amp;A9,LEFT(EmpTable!B9,FIND("@",EmpTable!B9)-1))</f>
        <v>emp8</v>
      </c>
      <c r="D9" t="str">
        <f>IF(EXACT(EmpTable!B9,"NA"),"company.com",MID(EmpTable!B9,FIND("@",EmpTable!B9)+1,50))</f>
        <v>company.com</v>
      </c>
      <c r="E9" t="str">
        <f>EmpTable!C9</f>
        <v>HR</v>
      </c>
      <c r="F9" s="1">
        <f>EmpTable!D9</f>
        <v>44710</v>
      </c>
      <c r="G9" s="1">
        <f>EmpTable!E9</f>
        <v>44753</v>
      </c>
      <c r="H9">
        <f>EmpTable!F9</f>
        <v>84886</v>
      </c>
      <c r="I9">
        <f>EmpTable!G9</f>
        <v>0.16</v>
      </c>
      <c r="J9">
        <f t="shared" si="1"/>
        <v>13581.76</v>
      </c>
      <c r="K9" t="str">
        <f>IFERROR(INDEX(DepartmentData!$B$2:$B$6,MATCH(E9,DepartmentData!$A$2:$A$6,0)),"")</f>
        <v>Alice</v>
      </c>
      <c r="L9" t="str">
        <f>IFERROR(INDEX(DepartmentData!$C$2:$C$6,MATCH(E9,DepartmentData!$A$2:$A$6,0)),"")</f>
        <v>Mumbai</v>
      </c>
      <c r="M9" t="str">
        <f>IF(EXACT(EmpTable!B9,"NA"),C9&amp;"@"&amp;D9,EmpTable!B9)</f>
        <v>emp8@company.com</v>
      </c>
    </row>
    <row r="10" spans="1:13" x14ac:dyDescent="0.3">
      <c r="A10">
        <f t="shared" si="0"/>
        <v>9</v>
      </c>
      <c r="B10" t="str">
        <f>EmpTable!A10</f>
        <v>Employee 9</v>
      </c>
      <c r="C10" t="str">
        <f>IF(EXACT(EmpTable!B10,"NA"),"emp"&amp;A10,LEFT(EmpTable!B10,FIND("@",EmpTable!B10)-1))</f>
        <v>emp9</v>
      </c>
      <c r="D10" t="str">
        <f>IF(EXACT(EmpTable!B10,"NA"),"company.com",MID(EmpTable!B10,FIND("@",EmpTable!B10)+1,50))</f>
        <v>company.com</v>
      </c>
      <c r="E10" t="str">
        <f>EmpTable!C10</f>
        <v>Finance</v>
      </c>
      <c r="F10" s="1">
        <f>EmpTable!D10</f>
        <v>45205</v>
      </c>
      <c r="G10" s="1">
        <f>EmpTable!E10</f>
        <v>45217</v>
      </c>
      <c r="H10">
        <f>EmpTable!F10</f>
        <v>36265</v>
      </c>
      <c r="I10">
        <f>EmpTable!G10</f>
        <v>0.08</v>
      </c>
      <c r="J10">
        <f t="shared" si="1"/>
        <v>2901.2000000000003</v>
      </c>
      <c r="K10" t="str">
        <f>IFERROR(INDEX(DepartmentData!$B$2:$B$6,MATCH(E10,DepartmentData!$A$2:$A$6,0)),"")</f>
        <v>Ethan</v>
      </c>
      <c r="L10" t="str">
        <f>IFERROR(INDEX(DepartmentData!$C$2:$C$6,MATCH(E10,DepartmentData!$A$2:$A$6,0)),"")</f>
        <v>Pune</v>
      </c>
      <c r="M10" t="str">
        <f>IF(EXACT(EmpTable!B10,"NA"),C10&amp;"@"&amp;D10,EmpTable!B10)</f>
        <v>emp9@company.com</v>
      </c>
    </row>
    <row r="11" spans="1:13" x14ac:dyDescent="0.3">
      <c r="A11">
        <f t="shared" si="0"/>
        <v>10</v>
      </c>
      <c r="B11" t="str">
        <f>EmpTable!A11</f>
        <v>Employee 10</v>
      </c>
      <c r="C11" t="str">
        <f>IF(EXACT(EmpTable!B11,"NA"),"emp"&amp;A11,LEFT(EmpTable!B11,FIND("@",EmpTable!B11)-1))</f>
        <v>emp10</v>
      </c>
      <c r="D11" t="str">
        <f>IF(EXACT(EmpTable!B11,"NA"),"company.com",MID(EmpTable!B11,FIND("@",EmpTable!B11)+1,50))</f>
        <v>company.com</v>
      </c>
      <c r="E11" t="str">
        <f>EmpTable!C11</f>
        <v>Marketing</v>
      </c>
      <c r="F11" s="1">
        <f>EmpTable!D11</f>
        <v>45057</v>
      </c>
      <c r="G11" s="1">
        <f>EmpTable!E11</f>
        <v>45105</v>
      </c>
      <c r="H11">
        <f>EmpTable!F11</f>
        <v>46850</v>
      </c>
      <c r="I11">
        <f>EmpTable!G11</f>
        <v>0.21</v>
      </c>
      <c r="J11">
        <f t="shared" si="1"/>
        <v>9838.5</v>
      </c>
      <c r="K11" t="str">
        <f>IFERROR(INDEX(DepartmentData!$B$2:$B$6,MATCH(E11,DepartmentData!$A$2:$A$6,0)),"")</f>
        <v>Charlie</v>
      </c>
      <c r="L11" t="str">
        <f>IFERROR(INDEX(DepartmentData!$C$2:$C$6,MATCH(E11,DepartmentData!$A$2:$A$6,0)),"")</f>
        <v>Bangalore</v>
      </c>
      <c r="M11" t="str">
        <f>IF(EXACT(EmpTable!B11,"NA"),C11&amp;"@"&amp;D11,EmpTable!B11)</f>
        <v>emp10@company.com</v>
      </c>
    </row>
    <row r="12" spans="1:13" hidden="1" x14ac:dyDescent="0.3">
      <c r="A12">
        <f t="shared" si="0"/>
        <v>11</v>
      </c>
      <c r="B12" t="str">
        <f>EmpTable!A12</f>
        <v>Employee 11</v>
      </c>
      <c r="C12" t="str">
        <f>IF(EXACT(EmpTable!B12,"NA"),"emp"&amp;A12,LEFT(EmpTable!B12,FIND("@",EmpTable!B12)-1))</f>
        <v>emp11</v>
      </c>
      <c r="D12" t="str">
        <f>IF(EXACT(EmpTable!B12,"NA"),"company.com",MID(EmpTable!B12,FIND("@",EmpTable!B12)+1,50))</f>
        <v>company.com</v>
      </c>
      <c r="E12" t="str">
        <f>EmpTable!C12</f>
        <v>NA</v>
      </c>
      <c r="F12" s="1">
        <f>EmpTable!D12</f>
        <v>44918</v>
      </c>
      <c r="G12" s="1">
        <f>EmpTable!E12</f>
        <v>44938</v>
      </c>
      <c r="H12">
        <f>EmpTable!F12</f>
        <v>67194</v>
      </c>
      <c r="I12">
        <f>EmpTable!G12</f>
        <v>0.06</v>
      </c>
      <c r="J12">
        <f t="shared" si="1"/>
        <v>4031.64</v>
      </c>
      <c r="K12" t="str">
        <f>IFERROR(INDEX(DepartmentData!$B$2:$B$6,MATCH(E12,DepartmentData!$A$2:$A$6,0)),"")</f>
        <v/>
      </c>
      <c r="L12" t="str">
        <f>IFERROR(INDEX(DepartmentData!$C$2:$C$6,MATCH(E12,DepartmentData!$A$2:$A$6,0)),"")</f>
        <v/>
      </c>
      <c r="M12" t="str">
        <f>IF(EXACT(EmpTable!B12,"NA"),C12&amp;"@"&amp;D12,EmpTable!B12)</f>
        <v>emp11@company.com</v>
      </c>
    </row>
    <row r="13" spans="1:13" x14ac:dyDescent="0.3">
      <c r="A13">
        <f t="shared" si="0"/>
        <v>12</v>
      </c>
      <c r="B13" t="str">
        <f>EmpTable!A13</f>
        <v>Employee 12</v>
      </c>
      <c r="C13" t="str">
        <f>IF(EXACT(EmpTable!B13,"NA"),"emp"&amp;A13,LEFT(EmpTable!B13,FIND("@",EmpTable!B13)-1))</f>
        <v>emp12</v>
      </c>
      <c r="D13" t="str">
        <f>IF(EXACT(EmpTable!B13,"NA"),"company.com",MID(EmpTable!B13,FIND("@",EmpTable!B13)+1,50))</f>
        <v>company.com</v>
      </c>
      <c r="E13" t="str">
        <f>EmpTable!C13</f>
        <v>Sales</v>
      </c>
      <c r="F13" s="1">
        <f>EmpTable!D13</f>
        <v>44923</v>
      </c>
      <c r="G13" s="1">
        <f>EmpTable!E13</f>
        <v>44946</v>
      </c>
      <c r="H13">
        <f>EmpTable!F13</f>
        <v>51962</v>
      </c>
      <c r="I13">
        <f>EmpTable!G13</f>
        <v>0.25</v>
      </c>
      <c r="J13">
        <f t="shared" si="1"/>
        <v>12990.5</v>
      </c>
      <c r="K13" t="str">
        <f>IFERROR(INDEX(DepartmentData!$B$2:$B$6,MATCH(E13,DepartmentData!$A$2:$A$6,0)),"")</f>
        <v>Bob</v>
      </c>
      <c r="L13" t="str">
        <f>IFERROR(INDEX(DepartmentData!$C$2:$C$6,MATCH(E13,DepartmentData!$A$2:$A$6,0)),"")</f>
        <v>Delhi</v>
      </c>
      <c r="M13" t="str">
        <f>IF(EXACT(EmpTable!B13,"NA"),C13&amp;"@"&amp;D13,EmpTable!B13)</f>
        <v>emp12@company.com</v>
      </c>
    </row>
    <row r="14" spans="1:13" x14ac:dyDescent="0.3">
      <c r="A14">
        <f t="shared" si="0"/>
        <v>13</v>
      </c>
      <c r="B14" t="str">
        <f>EmpTable!A14</f>
        <v>Employee 13</v>
      </c>
      <c r="C14" t="str">
        <f>IF(EXACT(EmpTable!B14,"NA"),"emp"&amp;A14,LEFT(EmpTable!B14,FIND("@",EmpTable!B14)-1))</f>
        <v>emp13</v>
      </c>
      <c r="D14" t="str">
        <f>IF(EXACT(EmpTable!B14,"NA"),"company.com",MID(EmpTable!B14,FIND("@",EmpTable!B14)+1,50))</f>
        <v>company.com</v>
      </c>
      <c r="E14" t="str">
        <f>EmpTable!C14</f>
        <v>Sales</v>
      </c>
      <c r="F14" s="1">
        <f>EmpTable!D14</f>
        <v>44726</v>
      </c>
      <c r="G14" s="1">
        <f>EmpTable!E14</f>
        <v>44767</v>
      </c>
      <c r="H14">
        <f>EmpTable!F14</f>
        <v>77191</v>
      </c>
      <c r="I14">
        <f>EmpTable!G14</f>
        <v>0.2</v>
      </c>
      <c r="J14">
        <f t="shared" si="1"/>
        <v>15438.2</v>
      </c>
      <c r="K14" t="str">
        <f>IFERROR(INDEX(DepartmentData!$B$2:$B$6,MATCH(E14,DepartmentData!$A$2:$A$6,0)),"")</f>
        <v>Bob</v>
      </c>
      <c r="L14" t="str">
        <f>IFERROR(INDEX(DepartmentData!$C$2:$C$6,MATCH(E14,DepartmentData!$A$2:$A$6,0)),"")</f>
        <v>Delhi</v>
      </c>
      <c r="M14" t="str">
        <f>IF(EXACT(EmpTable!B14,"NA"),C14&amp;"@"&amp;D14,EmpTable!B14)</f>
        <v>emp13@company.com</v>
      </c>
    </row>
    <row r="15" spans="1:13" x14ac:dyDescent="0.3">
      <c r="A15">
        <f t="shared" si="0"/>
        <v>14</v>
      </c>
      <c r="B15" t="str">
        <f>EmpTable!A15</f>
        <v>Employee 14</v>
      </c>
      <c r="C15" t="str">
        <f>IF(EXACT(EmpTable!B15,"NA"),"emp"&amp;A15,LEFT(EmpTable!B15,FIND("@",EmpTable!B15)-1))</f>
        <v>emp14</v>
      </c>
      <c r="D15" t="str">
        <f>IF(EXACT(EmpTable!B15,"NA"),"company.com",MID(EmpTable!B15,FIND("@",EmpTable!B15)+1,50))</f>
        <v>company.com</v>
      </c>
      <c r="E15" t="str">
        <f>EmpTable!C15</f>
        <v>Marketing</v>
      </c>
      <c r="F15" s="1">
        <f>EmpTable!D15</f>
        <v>44662</v>
      </c>
      <c r="G15" s="1">
        <f>EmpTable!E15</f>
        <v>44695</v>
      </c>
      <c r="H15">
        <f>EmpTable!F15</f>
        <v>74131</v>
      </c>
      <c r="I15">
        <f>EmpTable!G15</f>
        <v>0.09</v>
      </c>
      <c r="J15">
        <f t="shared" si="1"/>
        <v>6671.79</v>
      </c>
      <c r="K15" t="str">
        <f>IFERROR(INDEX(DepartmentData!$B$2:$B$6,MATCH(E15,DepartmentData!$A$2:$A$6,0)),"")</f>
        <v>Charlie</v>
      </c>
      <c r="L15" t="str">
        <f>IFERROR(INDEX(DepartmentData!$C$2:$C$6,MATCH(E15,DepartmentData!$A$2:$A$6,0)),"")</f>
        <v>Bangalore</v>
      </c>
      <c r="M15" t="str">
        <f>IF(EXACT(EmpTable!B15,"NA"),C15&amp;"@"&amp;D15,EmpTable!B15)</f>
        <v>emp14@company.com</v>
      </c>
    </row>
    <row r="16" spans="1:13" x14ac:dyDescent="0.3">
      <c r="A16">
        <f t="shared" si="0"/>
        <v>15</v>
      </c>
      <c r="B16" t="str">
        <f>EmpTable!A16</f>
        <v>Employee 15</v>
      </c>
      <c r="C16" t="str">
        <f>IF(EXACT(EmpTable!B16,"NA"),"emp"&amp;A16,LEFT(EmpTable!B16,FIND("@",EmpTable!B16)-1))</f>
        <v>emp15</v>
      </c>
      <c r="D16" t="str">
        <f>IF(EXACT(EmpTable!B16,"NA"),"company.com",MID(EmpTable!B16,FIND("@",EmpTable!B16)+1,50))</f>
        <v>company.com</v>
      </c>
      <c r="E16" t="str">
        <f>EmpTable!C16</f>
        <v>Finance</v>
      </c>
      <c r="F16" s="1">
        <f>EmpTable!D16</f>
        <v>44916</v>
      </c>
      <c r="G16" s="1">
        <f>EmpTable!E16</f>
        <v>44952</v>
      </c>
      <c r="H16">
        <f>EmpTable!F16</f>
        <v>46023</v>
      </c>
      <c r="I16">
        <f>EmpTable!G16</f>
        <v>0.05</v>
      </c>
      <c r="J16">
        <f t="shared" si="1"/>
        <v>2301.15</v>
      </c>
      <c r="K16" t="str">
        <f>IFERROR(INDEX(DepartmentData!$B$2:$B$6,MATCH(E16,DepartmentData!$A$2:$A$6,0)),"")</f>
        <v>Ethan</v>
      </c>
      <c r="L16" t="str">
        <f>IFERROR(INDEX(DepartmentData!$C$2:$C$6,MATCH(E16,DepartmentData!$A$2:$A$6,0)),"")</f>
        <v>Pune</v>
      </c>
      <c r="M16" t="str">
        <f>IF(EXACT(EmpTable!B16,"NA"),C16&amp;"@"&amp;D16,EmpTable!B16)</f>
        <v>emp15@company.com</v>
      </c>
    </row>
    <row r="17" spans="1:13" x14ac:dyDescent="0.3">
      <c r="A17">
        <f t="shared" si="0"/>
        <v>16</v>
      </c>
      <c r="B17" t="str">
        <f>EmpTable!A17</f>
        <v>Employee 16</v>
      </c>
      <c r="C17" t="str">
        <f>IF(EXACT(EmpTable!B17,"NA"),"emp"&amp;A17,LEFT(EmpTable!B17,FIND("@",EmpTable!B17)-1))</f>
        <v>emp16</v>
      </c>
      <c r="D17" t="str">
        <f>IF(EXACT(EmpTable!B17,"NA"),"company.com",MID(EmpTable!B17,FIND("@",EmpTable!B17)+1,50))</f>
        <v>company.com</v>
      </c>
      <c r="E17" t="str">
        <f>EmpTable!C17</f>
        <v>HR</v>
      </c>
      <c r="F17" s="1">
        <f>EmpTable!D17</f>
        <v>45138</v>
      </c>
      <c r="G17" s="1">
        <f>EmpTable!E17</f>
        <v>45181</v>
      </c>
      <c r="H17">
        <f>EmpTable!F17</f>
        <v>71090</v>
      </c>
      <c r="I17">
        <f>EmpTable!G17</f>
        <v>0.21</v>
      </c>
      <c r="J17">
        <f t="shared" si="1"/>
        <v>14928.9</v>
      </c>
      <c r="K17" t="str">
        <f>IFERROR(INDEX(DepartmentData!$B$2:$B$6,MATCH(E17,DepartmentData!$A$2:$A$6,0)),"")</f>
        <v>Alice</v>
      </c>
      <c r="L17" t="str">
        <f>IFERROR(INDEX(DepartmentData!$C$2:$C$6,MATCH(E17,DepartmentData!$A$2:$A$6,0)),"")</f>
        <v>Mumbai</v>
      </c>
      <c r="M17" t="str">
        <f>IF(EXACT(EmpTable!B17,"NA"),C17&amp;"@"&amp;D17,EmpTable!B17)</f>
        <v>emp16@company.com</v>
      </c>
    </row>
    <row r="18" spans="1:13" hidden="1" x14ac:dyDescent="0.3">
      <c r="A18">
        <f t="shared" si="0"/>
        <v>17</v>
      </c>
      <c r="B18" t="str">
        <f>EmpTable!A18</f>
        <v>Employee 17</v>
      </c>
      <c r="C18" t="str">
        <f>IF(EXACT(EmpTable!B18,"NA"),"emp"&amp;A18,LEFT(EmpTable!B18,FIND("@",EmpTable!B18)-1))</f>
        <v>emp17</v>
      </c>
      <c r="D18" t="str">
        <f>IF(EXACT(EmpTable!B18,"NA"),"company.com",MID(EmpTable!B18,FIND("@",EmpTable!B18)+1,50))</f>
        <v>company.com</v>
      </c>
      <c r="E18" t="str">
        <f>EmpTable!C18</f>
        <v>NA</v>
      </c>
      <c r="F18" s="1">
        <f>EmpTable!D18</f>
        <v>45067</v>
      </c>
      <c r="G18" s="1">
        <f>EmpTable!E18</f>
        <v>45096</v>
      </c>
      <c r="H18">
        <f>EmpTable!F18</f>
        <v>31685</v>
      </c>
      <c r="I18">
        <f>EmpTable!G18</f>
        <v>0.19</v>
      </c>
      <c r="J18">
        <f t="shared" si="1"/>
        <v>6020.15</v>
      </c>
      <c r="K18" t="str">
        <f>IFERROR(INDEX(DepartmentData!$B$2:$B$6,MATCH(E18,DepartmentData!$A$2:$A$6,0)),"")</f>
        <v/>
      </c>
      <c r="L18" t="str">
        <f>IFERROR(INDEX(DepartmentData!$C$2:$C$6,MATCH(E18,DepartmentData!$A$2:$A$6,0)),"")</f>
        <v/>
      </c>
      <c r="M18" t="str">
        <f>IF(EXACT(EmpTable!B18,"NA"),C18&amp;"@"&amp;D18,EmpTable!B18)</f>
        <v>emp17@company.com</v>
      </c>
    </row>
    <row r="19" spans="1:13" x14ac:dyDescent="0.3">
      <c r="A19">
        <f t="shared" si="0"/>
        <v>18</v>
      </c>
      <c r="B19" t="str">
        <f>EmpTable!A19</f>
        <v>Employee 18</v>
      </c>
      <c r="C19" t="str">
        <f>IF(EXACT(EmpTable!B19,"NA"),"emp"&amp;A19,LEFT(EmpTable!B19,FIND("@",EmpTable!B19)-1))</f>
        <v>emp18</v>
      </c>
      <c r="D19" t="str">
        <f>IF(EXACT(EmpTable!B19,"NA"),"company.com",MID(EmpTable!B19,FIND("@",EmpTable!B19)+1,50))</f>
        <v>company.com</v>
      </c>
      <c r="E19" t="str">
        <f>EmpTable!C19</f>
        <v>Marketing</v>
      </c>
      <c r="F19" s="1">
        <f>EmpTable!D19</f>
        <v>45216</v>
      </c>
      <c r="G19" s="1">
        <f>EmpTable!E19</f>
        <v>45252</v>
      </c>
      <c r="H19">
        <f>EmpTable!F19</f>
        <v>30769</v>
      </c>
      <c r="I19">
        <f>EmpTable!G19</f>
        <v>0.2</v>
      </c>
      <c r="J19">
        <f t="shared" si="1"/>
        <v>6153.8</v>
      </c>
      <c r="K19" t="str">
        <f>IFERROR(INDEX(DepartmentData!$B$2:$B$6,MATCH(E19,DepartmentData!$A$2:$A$6,0)),"")</f>
        <v>Charlie</v>
      </c>
      <c r="L19" t="str">
        <f>IFERROR(INDEX(DepartmentData!$C$2:$C$6,MATCH(E19,DepartmentData!$A$2:$A$6,0)),"")</f>
        <v>Bangalore</v>
      </c>
      <c r="M19" t="str">
        <f>IF(EXACT(EmpTable!B19,"NA"),C19&amp;"@"&amp;D19,EmpTable!B19)</f>
        <v>emp18@company.com</v>
      </c>
    </row>
    <row r="20" spans="1:13" hidden="1" x14ac:dyDescent="0.3">
      <c r="A20">
        <f t="shared" si="0"/>
        <v>19</v>
      </c>
      <c r="B20" t="str">
        <f>EmpTable!A20</f>
        <v>Employee 19</v>
      </c>
      <c r="C20" t="str">
        <f>IF(EXACT(EmpTable!B20,"NA"),"emp"&amp;A20,LEFT(EmpTable!B20,FIND("@",EmpTable!B20)-1))</f>
        <v>emp19</v>
      </c>
      <c r="D20" t="str">
        <f>IF(EXACT(EmpTable!B20,"NA"),"company.com",MID(EmpTable!B20,FIND("@",EmpTable!B20)+1,50))</f>
        <v>company.com</v>
      </c>
      <c r="E20" t="str">
        <f>EmpTable!C20</f>
        <v>NA</v>
      </c>
      <c r="F20" s="1">
        <f>EmpTable!D20</f>
        <v>44770</v>
      </c>
      <c r="G20" s="1">
        <f>EmpTable!E20</f>
        <v>44793</v>
      </c>
      <c r="H20">
        <f>EmpTable!F20</f>
        <v>89735</v>
      </c>
      <c r="I20">
        <f>EmpTable!G20</f>
        <v>0.2</v>
      </c>
      <c r="J20">
        <f t="shared" si="1"/>
        <v>17947</v>
      </c>
      <c r="K20" t="str">
        <f>IFERROR(INDEX(DepartmentData!$B$2:$B$6,MATCH(E20,DepartmentData!$A$2:$A$6,0)),"")</f>
        <v/>
      </c>
      <c r="L20" t="str">
        <f>IFERROR(INDEX(DepartmentData!$C$2:$C$6,MATCH(E20,DepartmentData!$A$2:$A$6,0)),"")</f>
        <v/>
      </c>
      <c r="M20" t="str">
        <f>IF(EXACT(EmpTable!B20,"NA"),C20&amp;"@"&amp;D20,EmpTable!B20)</f>
        <v>emp19@company.com</v>
      </c>
    </row>
    <row r="21" spans="1:13" x14ac:dyDescent="0.3">
      <c r="A21">
        <f t="shared" si="0"/>
        <v>20</v>
      </c>
      <c r="B21" t="str">
        <f>EmpTable!A21</f>
        <v>Employee 20</v>
      </c>
      <c r="C21" t="str">
        <f>IF(EXACT(EmpTable!B21,"NA"),"emp"&amp;A21,LEFT(EmpTable!B21,FIND("@",EmpTable!B21)-1))</f>
        <v>emp20</v>
      </c>
      <c r="D21" t="str">
        <f>IF(EXACT(EmpTable!B21,"NA"),"company.com",MID(EmpTable!B21,FIND("@",EmpTable!B21)+1,50))</f>
        <v>company.com</v>
      </c>
      <c r="E21" t="str">
        <f>EmpTable!C21</f>
        <v>Marketing</v>
      </c>
      <c r="F21" s="1">
        <f>EmpTable!D21</f>
        <v>44661</v>
      </c>
      <c r="G21" s="1">
        <f>EmpTable!E21</f>
        <v>44717</v>
      </c>
      <c r="H21">
        <f>EmpTable!F21</f>
        <v>86101</v>
      </c>
      <c r="I21">
        <f>EmpTable!G21</f>
        <v>0.06</v>
      </c>
      <c r="J21">
        <f t="shared" si="1"/>
        <v>5166.0599999999995</v>
      </c>
      <c r="K21" t="str">
        <f>IFERROR(INDEX(DepartmentData!$B$2:$B$6,MATCH(E21,DepartmentData!$A$2:$A$6,0)),"")</f>
        <v>Charlie</v>
      </c>
      <c r="L21" t="str">
        <f>IFERROR(INDEX(DepartmentData!$C$2:$C$6,MATCH(E21,DepartmentData!$A$2:$A$6,0)),"")</f>
        <v>Bangalore</v>
      </c>
      <c r="M21" t="str">
        <f>IF(EXACT(EmpTable!B21,"NA"),C21&amp;"@"&amp;D21,EmpTable!B21)</f>
        <v>emp20@company.com</v>
      </c>
    </row>
    <row r="22" spans="1:13" x14ac:dyDescent="0.3">
      <c r="A22">
        <f t="shared" si="0"/>
        <v>21</v>
      </c>
      <c r="B22" t="str">
        <f>EmpTable!A22</f>
        <v>Employee 21</v>
      </c>
      <c r="C22" t="str">
        <f>IF(EXACT(EmpTable!B22,"NA"),"emp"&amp;A22,LEFT(EmpTable!B22,FIND("@",EmpTable!B22)-1))</f>
        <v>emp21</v>
      </c>
      <c r="D22" t="str">
        <f>IF(EXACT(EmpTable!B22,"NA"),"company.com",MID(EmpTable!B22,FIND("@",EmpTable!B22)+1,50))</f>
        <v>company.com</v>
      </c>
      <c r="E22" t="str">
        <f>EmpTable!C22</f>
        <v>HR</v>
      </c>
      <c r="F22" s="1">
        <f>EmpTable!D22</f>
        <v>45339</v>
      </c>
      <c r="G22" s="1">
        <f>EmpTable!E22</f>
        <v>45388</v>
      </c>
      <c r="H22">
        <f>EmpTable!F22</f>
        <v>32433</v>
      </c>
      <c r="I22">
        <f>EmpTable!G22</f>
        <v>0.12</v>
      </c>
      <c r="J22">
        <f t="shared" si="1"/>
        <v>3891.96</v>
      </c>
      <c r="K22" t="str">
        <f>IFERROR(INDEX(DepartmentData!$B$2:$B$6,MATCH(E22,DepartmentData!$A$2:$A$6,0)),"")</f>
        <v>Alice</v>
      </c>
      <c r="L22" t="str">
        <f>IFERROR(INDEX(DepartmentData!$C$2:$C$6,MATCH(E22,DepartmentData!$A$2:$A$6,0)),"")</f>
        <v>Mumbai</v>
      </c>
      <c r="M22" t="str">
        <f>IF(EXACT(EmpTable!B22,"NA"),C22&amp;"@"&amp;D22,EmpTable!B22)</f>
        <v>emp21@company.com</v>
      </c>
    </row>
    <row r="23" spans="1:13" x14ac:dyDescent="0.3">
      <c r="A23">
        <f t="shared" si="0"/>
        <v>22</v>
      </c>
      <c r="B23" t="str">
        <f>EmpTable!A23</f>
        <v>Employee 22</v>
      </c>
      <c r="C23" t="str">
        <f>IF(EXACT(EmpTable!B23,"NA"),"emp"&amp;A23,LEFT(EmpTable!B23,FIND("@",EmpTable!B23)-1))</f>
        <v>emp22</v>
      </c>
      <c r="D23" t="str">
        <f>IF(EXACT(EmpTable!B23,"NA"),"company.com",MID(EmpTable!B23,FIND("@",EmpTable!B23)+1,50))</f>
        <v>company.com</v>
      </c>
      <c r="E23" t="str">
        <f>EmpTable!C23</f>
        <v>Finance</v>
      </c>
      <c r="F23" s="1">
        <f>EmpTable!D23</f>
        <v>44836</v>
      </c>
      <c r="G23" s="1">
        <f>EmpTable!E23</f>
        <v>44864</v>
      </c>
      <c r="H23">
        <f>EmpTable!F23</f>
        <v>35311</v>
      </c>
      <c r="I23">
        <f>EmpTable!G23</f>
        <v>7.0000000000000007E-2</v>
      </c>
      <c r="J23">
        <f t="shared" si="1"/>
        <v>2471.7700000000004</v>
      </c>
      <c r="K23" t="str">
        <f>IFERROR(INDEX(DepartmentData!$B$2:$B$6,MATCH(E23,DepartmentData!$A$2:$A$6,0)),"")</f>
        <v>Ethan</v>
      </c>
      <c r="L23" t="str">
        <f>IFERROR(INDEX(DepartmentData!$C$2:$C$6,MATCH(E23,DepartmentData!$A$2:$A$6,0)),"")</f>
        <v>Pune</v>
      </c>
      <c r="M23" t="str">
        <f>IF(EXACT(EmpTable!B23,"NA"),C23&amp;"@"&amp;D23,EmpTable!B23)</f>
        <v>emp22@company.com</v>
      </c>
    </row>
    <row r="24" spans="1:13" x14ac:dyDescent="0.3">
      <c r="A24">
        <f t="shared" si="0"/>
        <v>23</v>
      </c>
      <c r="B24" t="str">
        <f>EmpTable!A24</f>
        <v>Employee 23</v>
      </c>
      <c r="C24" t="str">
        <f>IF(EXACT(EmpTable!B24,"NA"),"emp"&amp;A24,LEFT(EmpTable!B24,FIND("@",EmpTable!B24)-1))</f>
        <v>emp23</v>
      </c>
      <c r="D24" t="str">
        <f>IF(EXACT(EmpTable!B24,"NA"),"company.com",MID(EmpTable!B24,FIND("@",EmpTable!B24)+1,50))</f>
        <v>company.com</v>
      </c>
      <c r="E24" t="str">
        <f>EmpTable!C24</f>
        <v>Finance</v>
      </c>
      <c r="F24" s="1">
        <f>EmpTable!D24</f>
        <v>45213</v>
      </c>
      <c r="G24" s="1">
        <f>EmpTable!E24</f>
        <v>45228</v>
      </c>
      <c r="H24">
        <f>EmpTable!F24</f>
        <v>67819</v>
      </c>
      <c r="I24">
        <f>EmpTable!G24</f>
        <v>0.22</v>
      </c>
      <c r="J24">
        <f t="shared" si="1"/>
        <v>14920.18</v>
      </c>
      <c r="K24" t="str">
        <f>IFERROR(INDEX(DepartmentData!$B$2:$B$6,MATCH(E24,DepartmentData!$A$2:$A$6,0)),"")</f>
        <v>Ethan</v>
      </c>
      <c r="L24" t="str">
        <f>IFERROR(INDEX(DepartmentData!$C$2:$C$6,MATCH(E24,DepartmentData!$A$2:$A$6,0)),"")</f>
        <v>Pune</v>
      </c>
      <c r="M24" t="str">
        <f>IF(EXACT(EmpTable!B24,"NA"),C24&amp;"@"&amp;D24,EmpTable!B24)</f>
        <v>emp23@company.com</v>
      </c>
    </row>
    <row r="25" spans="1:13" hidden="1" x14ac:dyDescent="0.3">
      <c r="A25">
        <f t="shared" si="0"/>
        <v>24</v>
      </c>
      <c r="B25" t="str">
        <f>EmpTable!A25</f>
        <v>Employee 24</v>
      </c>
      <c r="C25" t="str">
        <f>IF(EXACT(EmpTable!B25,"NA"),"emp"&amp;A25,LEFT(EmpTable!B25,FIND("@",EmpTable!B25)-1))</f>
        <v>emp24</v>
      </c>
      <c r="D25" t="str">
        <f>IF(EXACT(EmpTable!B25,"NA"),"company.com",MID(EmpTable!B25,FIND("@",EmpTable!B25)+1,50))</f>
        <v>company.com</v>
      </c>
      <c r="E25" t="str">
        <f>EmpTable!C25</f>
        <v>NA</v>
      </c>
      <c r="F25" s="1">
        <f>EmpTable!D25</f>
        <v>45164</v>
      </c>
      <c r="G25" s="1">
        <f>EmpTable!E25</f>
        <v>45182</v>
      </c>
      <c r="H25">
        <f>EmpTable!F25</f>
        <v>69188</v>
      </c>
      <c r="I25">
        <f>EmpTable!G25</f>
        <v>0.17</v>
      </c>
      <c r="J25">
        <f t="shared" si="1"/>
        <v>11761.960000000001</v>
      </c>
      <c r="K25" t="str">
        <f>IFERROR(INDEX(DepartmentData!$B$2:$B$6,MATCH(E25,DepartmentData!$A$2:$A$6,0)),"")</f>
        <v/>
      </c>
      <c r="L25" t="str">
        <f>IFERROR(INDEX(DepartmentData!$C$2:$C$6,MATCH(E25,DepartmentData!$A$2:$A$6,0)),"")</f>
        <v/>
      </c>
      <c r="M25" t="str">
        <f>IF(EXACT(EmpTable!B25,"NA"),C25&amp;"@"&amp;D25,EmpTable!B25)</f>
        <v>emp24@company.com</v>
      </c>
    </row>
    <row r="26" spans="1:13" x14ac:dyDescent="0.3">
      <c r="A26">
        <f t="shared" si="0"/>
        <v>25</v>
      </c>
      <c r="B26" t="str">
        <f>EmpTable!A26</f>
        <v>Employee 25</v>
      </c>
      <c r="C26" t="str">
        <f>IF(EXACT(EmpTable!B26,"NA"),"emp"&amp;A26,LEFT(EmpTable!B26,FIND("@",EmpTable!B26)-1))</f>
        <v>emp25</v>
      </c>
      <c r="D26" t="str">
        <f>IF(EXACT(EmpTable!B26,"NA"),"company.com",MID(EmpTable!B26,FIND("@",EmpTable!B26)+1,50))</f>
        <v>company.com</v>
      </c>
      <c r="E26" t="str">
        <f>EmpTable!C26</f>
        <v>Finance</v>
      </c>
      <c r="F26" s="1">
        <f>EmpTable!D26</f>
        <v>44687</v>
      </c>
      <c r="G26" s="1">
        <f>EmpTable!E26</f>
        <v>44733</v>
      </c>
      <c r="H26">
        <f>EmpTable!F26</f>
        <v>47568</v>
      </c>
      <c r="I26">
        <f>EmpTable!G26</f>
        <v>0.12</v>
      </c>
      <c r="J26">
        <f t="shared" si="1"/>
        <v>5708.16</v>
      </c>
      <c r="K26" t="str">
        <f>IFERROR(INDEX(DepartmentData!$B$2:$B$6,MATCH(E26,DepartmentData!$A$2:$A$6,0)),"")</f>
        <v>Ethan</v>
      </c>
      <c r="L26" t="str">
        <f>IFERROR(INDEX(DepartmentData!$C$2:$C$6,MATCH(E26,DepartmentData!$A$2:$A$6,0)),"")</f>
        <v>Pune</v>
      </c>
      <c r="M26" t="str">
        <f>IF(EXACT(EmpTable!B26,"NA"),C26&amp;"@"&amp;D26,EmpTable!B26)</f>
        <v>emp25@company.com</v>
      </c>
    </row>
    <row r="27" spans="1:13" x14ac:dyDescent="0.3">
      <c r="A27">
        <f t="shared" si="0"/>
        <v>26</v>
      </c>
      <c r="B27" t="str">
        <f>EmpTable!A27</f>
        <v>Employee 26</v>
      </c>
      <c r="C27" t="str">
        <f>IF(EXACT(EmpTable!B27,"NA"),"emp"&amp;A27,LEFT(EmpTable!B27,FIND("@",EmpTable!B27)-1))</f>
        <v>emp26</v>
      </c>
      <c r="D27" t="str">
        <f>IF(EXACT(EmpTable!B27,"NA"),"company.com",MID(EmpTable!B27,FIND("@",EmpTable!B27)+1,50))</f>
        <v>company.com</v>
      </c>
      <c r="E27" t="str">
        <f>EmpTable!C27</f>
        <v>IT</v>
      </c>
      <c r="F27" s="1">
        <f>EmpTable!D27</f>
        <v>44656</v>
      </c>
      <c r="G27" s="1">
        <f>EmpTable!E27</f>
        <v>44668</v>
      </c>
      <c r="H27">
        <f>EmpTable!F27</f>
        <v>83707</v>
      </c>
      <c r="I27">
        <f>EmpTable!G27</f>
        <v>0.06</v>
      </c>
      <c r="J27">
        <f t="shared" si="1"/>
        <v>5022.42</v>
      </c>
      <c r="K27" t="str">
        <f>IFERROR(INDEX(DepartmentData!$B$2:$B$6,MATCH(E27,DepartmentData!$A$2:$A$6,0)),"")</f>
        <v>Diana</v>
      </c>
      <c r="L27" t="str">
        <f>IFERROR(INDEX(DepartmentData!$C$2:$C$6,MATCH(E27,DepartmentData!$A$2:$A$6,0)),"")</f>
        <v>Hyderabad</v>
      </c>
      <c r="M27" t="str">
        <f>IF(EXACT(EmpTable!B27,"NA"),C27&amp;"@"&amp;D27,EmpTable!B27)</f>
        <v>emp26@company.com</v>
      </c>
    </row>
    <row r="28" spans="1:13" x14ac:dyDescent="0.3">
      <c r="A28">
        <f t="shared" si="0"/>
        <v>27</v>
      </c>
      <c r="B28" t="str">
        <f>EmpTable!A28</f>
        <v>Employee 27</v>
      </c>
      <c r="C28" t="str">
        <f>IF(EXACT(EmpTable!B28,"NA"),"emp"&amp;A28,LEFT(EmpTable!B28,FIND("@",EmpTable!B28)-1))</f>
        <v>emp27</v>
      </c>
      <c r="D28" t="str">
        <f>IF(EXACT(EmpTable!B28,"NA"),"company.com",MID(EmpTable!B28,FIND("@",EmpTable!B28)+1,50))</f>
        <v>company.com</v>
      </c>
      <c r="E28" t="str">
        <f>EmpTable!C28</f>
        <v>Marketing</v>
      </c>
      <c r="F28" s="1">
        <f>EmpTable!D28</f>
        <v>45239</v>
      </c>
      <c r="G28" s="1">
        <f>EmpTable!E28</f>
        <v>45299</v>
      </c>
      <c r="H28">
        <f>EmpTable!F28</f>
        <v>49769</v>
      </c>
      <c r="I28">
        <f>EmpTable!G28</f>
        <v>0.11</v>
      </c>
      <c r="J28">
        <f t="shared" si="1"/>
        <v>5474.59</v>
      </c>
      <c r="K28" t="str">
        <f>IFERROR(INDEX(DepartmentData!$B$2:$B$6,MATCH(E28,DepartmentData!$A$2:$A$6,0)),"")</f>
        <v>Charlie</v>
      </c>
      <c r="L28" t="str">
        <f>IFERROR(INDEX(DepartmentData!$C$2:$C$6,MATCH(E28,DepartmentData!$A$2:$A$6,0)),"")</f>
        <v>Bangalore</v>
      </c>
      <c r="M28" t="str">
        <f>IF(EXACT(EmpTable!B28,"NA"),C28&amp;"@"&amp;D28,EmpTable!B28)</f>
        <v>emp27@company.com</v>
      </c>
    </row>
    <row r="29" spans="1:13" x14ac:dyDescent="0.3">
      <c r="A29">
        <f t="shared" si="0"/>
        <v>28</v>
      </c>
      <c r="B29" t="str">
        <f>EmpTable!A29</f>
        <v>Employee 28</v>
      </c>
      <c r="C29" t="str">
        <f>IF(EXACT(EmpTable!B29,"NA"),"emp"&amp;A29,LEFT(EmpTable!B29,FIND("@",EmpTable!B29)-1))</f>
        <v>emp28</v>
      </c>
      <c r="D29" t="str">
        <f>IF(EXACT(EmpTable!B29,"NA"),"company.com",MID(EmpTable!B29,FIND("@",EmpTable!B29)+1,50))</f>
        <v>company.com</v>
      </c>
      <c r="E29" t="str">
        <f>EmpTable!C29</f>
        <v>Finance</v>
      </c>
      <c r="F29" s="1">
        <f>EmpTable!D29</f>
        <v>45100</v>
      </c>
      <c r="G29" s="1">
        <f>EmpTable!E29</f>
        <v>45157</v>
      </c>
      <c r="H29">
        <f>EmpTable!F29</f>
        <v>58693</v>
      </c>
      <c r="I29">
        <f>EmpTable!G29</f>
        <v>0.12</v>
      </c>
      <c r="J29">
        <f t="shared" si="1"/>
        <v>7043.16</v>
      </c>
      <c r="K29" t="str">
        <f>IFERROR(INDEX(DepartmentData!$B$2:$B$6,MATCH(E29,DepartmentData!$A$2:$A$6,0)),"")</f>
        <v>Ethan</v>
      </c>
      <c r="L29" t="str">
        <f>IFERROR(INDEX(DepartmentData!$C$2:$C$6,MATCH(E29,DepartmentData!$A$2:$A$6,0)),"")</f>
        <v>Pune</v>
      </c>
      <c r="M29" t="str">
        <f>IF(EXACT(EmpTable!B29,"NA"),C29&amp;"@"&amp;D29,EmpTable!B29)</f>
        <v>emp28@company.com</v>
      </c>
    </row>
    <row r="30" spans="1:13" hidden="1" x14ac:dyDescent="0.3">
      <c r="A30">
        <f t="shared" si="0"/>
        <v>29</v>
      </c>
      <c r="B30" t="str">
        <f>EmpTable!A30</f>
        <v>Employee 29</v>
      </c>
      <c r="C30" t="str">
        <f>IF(EXACT(EmpTable!B30,"NA"),"emp"&amp;A30,LEFT(EmpTable!B30,FIND("@",EmpTable!B30)-1))</f>
        <v>emp29</v>
      </c>
      <c r="D30" t="str">
        <f>IF(EXACT(EmpTable!B30,"NA"),"company.com",MID(EmpTable!B30,FIND("@",EmpTable!B30)+1,50))</f>
        <v>company.com</v>
      </c>
      <c r="E30" t="str">
        <f>EmpTable!C30</f>
        <v>NA</v>
      </c>
      <c r="F30" s="1">
        <f>EmpTable!D30</f>
        <v>45076</v>
      </c>
      <c r="G30" s="1">
        <f>EmpTable!E30</f>
        <v>45126</v>
      </c>
      <c r="H30">
        <f>EmpTable!F30</f>
        <v>36396</v>
      </c>
      <c r="I30">
        <f>EmpTable!G30</f>
        <v>0.2</v>
      </c>
      <c r="J30">
        <f t="shared" si="1"/>
        <v>7279.2000000000007</v>
      </c>
      <c r="K30" t="str">
        <f>IFERROR(INDEX(DepartmentData!$B$2:$B$6,MATCH(E30,DepartmentData!$A$2:$A$6,0)),"")</f>
        <v/>
      </c>
      <c r="L30" t="str">
        <f>IFERROR(INDEX(DepartmentData!$C$2:$C$6,MATCH(E30,DepartmentData!$A$2:$A$6,0)),"")</f>
        <v/>
      </c>
      <c r="M30" t="str">
        <f>IF(EXACT(EmpTable!B30,"NA"),C30&amp;"@"&amp;D30,EmpTable!B30)</f>
        <v>emp29@company.com</v>
      </c>
    </row>
    <row r="31" spans="1:13" x14ac:dyDescent="0.3">
      <c r="A31">
        <f t="shared" si="0"/>
        <v>30</v>
      </c>
      <c r="B31" t="str">
        <f>EmpTable!A31</f>
        <v>Employee 30</v>
      </c>
      <c r="C31" t="str">
        <f>IF(EXACT(EmpTable!B31,"NA"),"emp"&amp;A31,LEFT(EmpTable!B31,FIND("@",EmpTable!B31)-1))</f>
        <v>emp30</v>
      </c>
      <c r="D31" t="str">
        <f>IF(EXACT(EmpTable!B31,"NA"),"company.com",MID(EmpTable!B31,FIND("@",EmpTable!B31)+1,50))</f>
        <v>company.com</v>
      </c>
      <c r="E31" t="str">
        <f>EmpTable!C31</f>
        <v>Sales</v>
      </c>
      <c r="F31" s="1">
        <f>EmpTable!D31</f>
        <v>44675</v>
      </c>
      <c r="G31" s="1">
        <f>EmpTable!E31</f>
        <v>44685</v>
      </c>
      <c r="H31">
        <f>EmpTable!F31</f>
        <v>57480</v>
      </c>
      <c r="I31">
        <f>EmpTable!G31</f>
        <v>0.18</v>
      </c>
      <c r="J31">
        <f t="shared" si="1"/>
        <v>10346.4</v>
      </c>
      <c r="K31" t="str">
        <f>IFERROR(INDEX(DepartmentData!$B$2:$B$6,MATCH(E31,DepartmentData!$A$2:$A$6,0)),"")</f>
        <v>Bob</v>
      </c>
      <c r="L31" t="str">
        <f>IFERROR(INDEX(DepartmentData!$C$2:$C$6,MATCH(E31,DepartmentData!$A$2:$A$6,0)),"")</f>
        <v>Delhi</v>
      </c>
      <c r="M31" t="str">
        <f>IF(EXACT(EmpTable!B31,"NA"),C31&amp;"@"&amp;D31,EmpTable!B31)</f>
        <v>emp30@company.com</v>
      </c>
    </row>
    <row r="32" spans="1:13" x14ac:dyDescent="0.3">
      <c r="A32">
        <f t="shared" si="0"/>
        <v>31</v>
      </c>
      <c r="B32" t="str">
        <f>EmpTable!A32</f>
        <v>Employee 31</v>
      </c>
      <c r="C32" t="str">
        <f>IF(EXACT(EmpTable!B32,"NA"),"emp"&amp;A32,LEFT(EmpTable!B32,FIND("@",EmpTable!B32)-1))</f>
        <v>emp31</v>
      </c>
      <c r="D32" t="str">
        <f>IF(EXACT(EmpTable!B32,"NA"),"company.com",MID(EmpTable!B32,FIND("@",EmpTable!B32)+1,50))</f>
        <v>company.com</v>
      </c>
      <c r="E32" t="str">
        <f>EmpTable!C32</f>
        <v>HR</v>
      </c>
      <c r="F32" s="1">
        <f>EmpTable!D32</f>
        <v>44808</v>
      </c>
      <c r="G32" s="1">
        <f>EmpTable!E32</f>
        <v>44828</v>
      </c>
      <c r="H32">
        <f>EmpTable!F32</f>
        <v>71434</v>
      </c>
      <c r="I32">
        <f>EmpTable!G32</f>
        <v>0.23</v>
      </c>
      <c r="J32">
        <f t="shared" si="1"/>
        <v>16429.82</v>
      </c>
      <c r="K32" t="str">
        <f>IFERROR(INDEX(DepartmentData!$B$2:$B$6,MATCH(E32,DepartmentData!$A$2:$A$6,0)),"")</f>
        <v>Alice</v>
      </c>
      <c r="L32" t="str">
        <f>IFERROR(INDEX(DepartmentData!$C$2:$C$6,MATCH(E32,DepartmentData!$A$2:$A$6,0)),"")</f>
        <v>Mumbai</v>
      </c>
      <c r="M32" t="str">
        <f>IF(EXACT(EmpTable!B32,"NA"),C32&amp;"@"&amp;D32,EmpTable!B32)</f>
        <v>emp31@company.com</v>
      </c>
    </row>
    <row r="33" spans="1:13" x14ac:dyDescent="0.3">
      <c r="A33">
        <f t="shared" si="0"/>
        <v>32</v>
      </c>
      <c r="B33" t="str">
        <f>EmpTable!A33</f>
        <v>Employee 32</v>
      </c>
      <c r="C33" t="str">
        <f>IF(EXACT(EmpTable!B33,"NA"),"emp"&amp;A33,LEFT(EmpTable!B33,FIND("@",EmpTable!B33)-1))</f>
        <v>emp32</v>
      </c>
      <c r="D33" t="str">
        <f>IF(EXACT(EmpTable!B33,"NA"),"company.com",MID(EmpTable!B33,FIND("@",EmpTable!B33)+1,50))</f>
        <v>company.com</v>
      </c>
      <c r="E33" t="str">
        <f>EmpTable!C33</f>
        <v>Marketing</v>
      </c>
      <c r="F33" s="1">
        <f>EmpTable!D33</f>
        <v>45270</v>
      </c>
      <c r="G33" s="1">
        <f>EmpTable!E33</f>
        <v>45310</v>
      </c>
      <c r="H33">
        <f>EmpTable!F33</f>
        <v>55658</v>
      </c>
      <c r="I33">
        <f>EmpTable!G33</f>
        <v>0.14000000000000001</v>
      </c>
      <c r="J33">
        <f t="shared" si="1"/>
        <v>7792.1200000000008</v>
      </c>
      <c r="K33" t="str">
        <f>IFERROR(INDEX(DepartmentData!$B$2:$B$6,MATCH(E33,DepartmentData!$A$2:$A$6,0)),"")</f>
        <v>Charlie</v>
      </c>
      <c r="L33" t="str">
        <f>IFERROR(INDEX(DepartmentData!$C$2:$C$6,MATCH(E33,DepartmentData!$A$2:$A$6,0)),"")</f>
        <v>Bangalore</v>
      </c>
      <c r="M33" t="str">
        <f>IF(EXACT(EmpTable!B33,"NA"),C33&amp;"@"&amp;D33,EmpTable!B33)</f>
        <v>emp32@company.com</v>
      </c>
    </row>
    <row r="34" spans="1:13" x14ac:dyDescent="0.3">
      <c r="A34">
        <f t="shared" ref="A34:A65" si="2">ROW()-1</f>
        <v>33</v>
      </c>
      <c r="B34" t="str">
        <f>EmpTable!A34</f>
        <v>Employee 33</v>
      </c>
      <c r="C34" t="str">
        <f>IF(EXACT(EmpTable!B34,"NA"),"emp"&amp;A34,LEFT(EmpTable!B34,FIND("@",EmpTable!B34)-1))</f>
        <v>emp33</v>
      </c>
      <c r="D34" t="str">
        <f>IF(EXACT(EmpTable!B34,"NA"),"company.com",MID(EmpTable!B34,FIND("@",EmpTable!B34)+1,50))</f>
        <v>company.com</v>
      </c>
      <c r="E34" t="str">
        <f>EmpTable!C34</f>
        <v>HR</v>
      </c>
      <c r="F34" s="1">
        <f>EmpTable!D34</f>
        <v>44804</v>
      </c>
      <c r="G34" s="1">
        <f>EmpTable!E34</f>
        <v>44826</v>
      </c>
      <c r="H34">
        <f>EmpTable!F34</f>
        <v>48942</v>
      </c>
      <c r="I34">
        <f>EmpTable!G34</f>
        <v>7.0000000000000007E-2</v>
      </c>
      <c r="J34">
        <f t="shared" ref="J34:J65" si="3">H34*I34</f>
        <v>3425.9400000000005</v>
      </c>
      <c r="K34" t="str">
        <f>IFERROR(INDEX(DepartmentData!$B$2:$B$6,MATCH(E34,DepartmentData!$A$2:$A$6,0)),"")</f>
        <v>Alice</v>
      </c>
      <c r="L34" t="str">
        <f>IFERROR(INDEX(DepartmentData!$C$2:$C$6,MATCH(E34,DepartmentData!$A$2:$A$6,0)),"")</f>
        <v>Mumbai</v>
      </c>
      <c r="M34" t="str">
        <f>IF(EXACT(EmpTable!B34,"NA"),C34&amp;"@"&amp;D34,EmpTable!B34)</f>
        <v>emp33@company.com</v>
      </c>
    </row>
    <row r="35" spans="1:13" x14ac:dyDescent="0.3">
      <c r="A35">
        <f t="shared" si="2"/>
        <v>34</v>
      </c>
      <c r="B35" t="str">
        <f>EmpTable!A35</f>
        <v>Employee 34</v>
      </c>
      <c r="C35" t="str">
        <f>IF(EXACT(EmpTable!B35,"NA"),"emp"&amp;A35,LEFT(EmpTable!B35,FIND("@",EmpTable!B35)-1))</f>
        <v>emp34</v>
      </c>
      <c r="D35" t="str">
        <f>IF(EXACT(EmpTable!B35,"NA"),"company.com",MID(EmpTable!B35,FIND("@",EmpTable!B35)+1,50))</f>
        <v>company.com</v>
      </c>
      <c r="E35" t="str">
        <f>EmpTable!C35</f>
        <v>IT</v>
      </c>
      <c r="F35" s="1">
        <f>EmpTable!D35</f>
        <v>45275</v>
      </c>
      <c r="G35" s="1">
        <f>EmpTable!E35</f>
        <v>45319</v>
      </c>
      <c r="H35">
        <f>EmpTable!F35</f>
        <v>87001</v>
      </c>
      <c r="I35">
        <f>EmpTable!G35</f>
        <v>0.19</v>
      </c>
      <c r="J35">
        <f t="shared" si="3"/>
        <v>16530.189999999999</v>
      </c>
      <c r="K35" t="str">
        <f>IFERROR(INDEX(DepartmentData!$B$2:$B$6,MATCH(E35,DepartmentData!$A$2:$A$6,0)),"")</f>
        <v>Diana</v>
      </c>
      <c r="L35" t="str">
        <f>IFERROR(INDEX(DepartmentData!$C$2:$C$6,MATCH(E35,DepartmentData!$A$2:$A$6,0)),"")</f>
        <v>Hyderabad</v>
      </c>
      <c r="M35" t="str">
        <f>IF(EXACT(EmpTable!B35,"NA"),C35&amp;"@"&amp;D35,EmpTable!B35)</f>
        <v>emp34@company.com</v>
      </c>
    </row>
    <row r="36" spans="1:13" x14ac:dyDescent="0.3">
      <c r="A36">
        <f t="shared" si="2"/>
        <v>35</v>
      </c>
      <c r="B36" t="str">
        <f>EmpTable!A36</f>
        <v>Employee 35</v>
      </c>
      <c r="C36" t="str">
        <f>IF(EXACT(EmpTable!B36,"NA"),"emp"&amp;A36,LEFT(EmpTable!B36,FIND("@",EmpTable!B36)-1))</f>
        <v>emp35</v>
      </c>
      <c r="D36" t="str">
        <f>IF(EXACT(EmpTable!B36,"NA"),"company.com",MID(EmpTable!B36,FIND("@",EmpTable!B36)+1,50))</f>
        <v>company.com</v>
      </c>
      <c r="E36" t="str">
        <f>EmpTable!C36</f>
        <v>HR</v>
      </c>
      <c r="F36" s="1">
        <f>EmpTable!D36</f>
        <v>45356</v>
      </c>
      <c r="G36" s="1">
        <f>EmpTable!E36</f>
        <v>45406</v>
      </c>
      <c r="H36">
        <f>EmpTable!F36</f>
        <v>48431</v>
      </c>
      <c r="I36">
        <f>EmpTable!G36</f>
        <v>0.2</v>
      </c>
      <c r="J36">
        <f t="shared" si="3"/>
        <v>9686.2000000000007</v>
      </c>
      <c r="K36" t="str">
        <f>IFERROR(INDEX(DepartmentData!$B$2:$B$6,MATCH(E36,DepartmentData!$A$2:$A$6,0)),"")</f>
        <v>Alice</v>
      </c>
      <c r="L36" t="str">
        <f>IFERROR(INDEX(DepartmentData!$C$2:$C$6,MATCH(E36,DepartmentData!$A$2:$A$6,0)),"")</f>
        <v>Mumbai</v>
      </c>
      <c r="M36" t="str">
        <f>IF(EXACT(EmpTable!B36,"NA"),C36&amp;"@"&amp;D36,EmpTable!B36)</f>
        <v>emp35@company.com</v>
      </c>
    </row>
    <row r="37" spans="1:13" x14ac:dyDescent="0.3">
      <c r="A37">
        <f t="shared" si="2"/>
        <v>36</v>
      </c>
      <c r="B37" t="str">
        <f>EmpTable!A37</f>
        <v>Employee 36</v>
      </c>
      <c r="C37" t="str">
        <f>IF(EXACT(EmpTable!B37,"NA"),"emp"&amp;A37,LEFT(EmpTable!B37,FIND("@",EmpTable!B37)-1))</f>
        <v>emp36</v>
      </c>
      <c r="D37" t="str">
        <f>IF(EXACT(EmpTable!B37,"NA"),"company.com",MID(EmpTable!B37,FIND("@",EmpTable!B37)+1,50))</f>
        <v>company.com</v>
      </c>
      <c r="E37" t="str">
        <f>EmpTable!C37</f>
        <v>Marketing</v>
      </c>
      <c r="F37" s="1">
        <f>EmpTable!D37</f>
        <v>44700</v>
      </c>
      <c r="G37" s="1">
        <f>EmpTable!E37</f>
        <v>44730</v>
      </c>
      <c r="H37">
        <f>EmpTable!F37</f>
        <v>32747</v>
      </c>
      <c r="I37">
        <f>EmpTable!G37</f>
        <v>0.16</v>
      </c>
      <c r="J37">
        <f t="shared" si="3"/>
        <v>5239.5200000000004</v>
      </c>
      <c r="K37" t="str">
        <f>IFERROR(INDEX(DepartmentData!$B$2:$B$6,MATCH(E37,DepartmentData!$A$2:$A$6,0)),"")</f>
        <v>Charlie</v>
      </c>
      <c r="L37" t="str">
        <f>IFERROR(INDEX(DepartmentData!$C$2:$C$6,MATCH(E37,DepartmentData!$A$2:$A$6,0)),"")</f>
        <v>Bangalore</v>
      </c>
      <c r="M37" t="str">
        <f>IF(EXACT(EmpTable!B37,"NA"),C37&amp;"@"&amp;D37,EmpTable!B37)</f>
        <v>emp36@company.com</v>
      </c>
    </row>
    <row r="38" spans="1:13" x14ac:dyDescent="0.3">
      <c r="A38">
        <f t="shared" si="2"/>
        <v>37</v>
      </c>
      <c r="B38" t="str">
        <f>EmpTable!A38</f>
        <v>Employee 37</v>
      </c>
      <c r="C38" t="str">
        <f>IF(EXACT(EmpTable!B38,"NA"),"emp"&amp;A38,LEFT(EmpTable!B38,FIND("@",EmpTable!B38)-1))</f>
        <v>emp37</v>
      </c>
      <c r="D38" t="str">
        <f>IF(EXACT(EmpTable!B38,"NA"),"company.com",MID(EmpTable!B38,FIND("@",EmpTable!B38)+1,50))</f>
        <v>company.com</v>
      </c>
      <c r="E38" t="str">
        <f>EmpTable!C38</f>
        <v>IT</v>
      </c>
      <c r="F38" s="1">
        <f>EmpTable!D38</f>
        <v>44760</v>
      </c>
      <c r="G38" s="1">
        <f>EmpTable!E38</f>
        <v>44816</v>
      </c>
      <c r="H38">
        <f>EmpTable!F38</f>
        <v>88319</v>
      </c>
      <c r="I38">
        <f>EmpTable!G38</f>
        <v>0.2</v>
      </c>
      <c r="J38">
        <f t="shared" si="3"/>
        <v>17663.8</v>
      </c>
      <c r="K38" t="str">
        <f>IFERROR(INDEX(DepartmentData!$B$2:$B$6,MATCH(E38,DepartmentData!$A$2:$A$6,0)),"")</f>
        <v>Diana</v>
      </c>
      <c r="L38" t="str">
        <f>IFERROR(INDEX(DepartmentData!$C$2:$C$6,MATCH(E38,DepartmentData!$A$2:$A$6,0)),"")</f>
        <v>Hyderabad</v>
      </c>
      <c r="M38" t="str">
        <f>IF(EXACT(EmpTable!B38,"NA"),C38&amp;"@"&amp;D38,EmpTable!B38)</f>
        <v>emp37@company.com</v>
      </c>
    </row>
    <row r="39" spans="1:13" hidden="1" x14ac:dyDescent="0.3">
      <c r="A39">
        <f t="shared" si="2"/>
        <v>38</v>
      </c>
      <c r="B39" t="str">
        <f>EmpTable!A39</f>
        <v>Employee 38</v>
      </c>
      <c r="C39" t="str">
        <f>IF(EXACT(EmpTable!B39,"NA"),"emp"&amp;A39,LEFT(EmpTable!B39,FIND("@",EmpTable!B39)-1))</f>
        <v>emp38</v>
      </c>
      <c r="D39" t="str">
        <f>IF(EXACT(EmpTable!B39,"NA"),"company.com",MID(EmpTable!B39,FIND("@",EmpTable!B39)+1,50))</f>
        <v>company.com</v>
      </c>
      <c r="E39" t="str">
        <f>EmpTable!C39</f>
        <v>NA</v>
      </c>
      <c r="F39" s="1">
        <f>EmpTable!D39</f>
        <v>44980</v>
      </c>
      <c r="G39" s="1">
        <f>EmpTable!E39</f>
        <v>45010</v>
      </c>
      <c r="H39">
        <f>EmpTable!F39</f>
        <v>89150</v>
      </c>
      <c r="I39">
        <f>EmpTable!G39</f>
        <v>0.15</v>
      </c>
      <c r="J39">
        <f t="shared" si="3"/>
        <v>13372.5</v>
      </c>
      <c r="K39" t="str">
        <f>IFERROR(INDEX(DepartmentData!$B$2:$B$6,MATCH(E39,DepartmentData!$A$2:$A$6,0)),"")</f>
        <v/>
      </c>
      <c r="L39" t="str">
        <f>IFERROR(INDEX(DepartmentData!$C$2:$C$6,MATCH(E39,DepartmentData!$A$2:$A$6,0)),"")</f>
        <v/>
      </c>
      <c r="M39" t="str">
        <f>IF(EXACT(EmpTable!B39,"NA"),C39&amp;"@"&amp;D39,EmpTable!B39)</f>
        <v>emp38@company.com</v>
      </c>
    </row>
    <row r="40" spans="1:13" x14ac:dyDescent="0.3">
      <c r="A40">
        <f t="shared" si="2"/>
        <v>39</v>
      </c>
      <c r="B40" t="str">
        <f>EmpTable!A40</f>
        <v>Employee 39</v>
      </c>
      <c r="C40" t="str">
        <f>IF(EXACT(EmpTable!B40,"NA"),"emp"&amp;A40,LEFT(EmpTable!B40,FIND("@",EmpTable!B40)-1))</f>
        <v>emp39</v>
      </c>
      <c r="D40" t="str">
        <f>IF(EXACT(EmpTable!B40,"NA"),"company.com",MID(EmpTable!B40,FIND("@",EmpTable!B40)+1,50))</f>
        <v>company.com</v>
      </c>
      <c r="E40" t="str">
        <f>EmpTable!C40</f>
        <v>Finance</v>
      </c>
      <c r="F40" s="1">
        <f>EmpTable!D40</f>
        <v>44812</v>
      </c>
      <c r="G40" s="1">
        <f>EmpTable!E40</f>
        <v>44835</v>
      </c>
      <c r="H40">
        <f>EmpTable!F40</f>
        <v>30189</v>
      </c>
      <c r="I40">
        <f>EmpTable!G40</f>
        <v>0.15</v>
      </c>
      <c r="J40">
        <f t="shared" si="3"/>
        <v>4528.3499999999995</v>
      </c>
      <c r="K40" t="str">
        <f>IFERROR(INDEX(DepartmentData!$B$2:$B$6,MATCH(E40,DepartmentData!$A$2:$A$6,0)),"")</f>
        <v>Ethan</v>
      </c>
      <c r="L40" t="str">
        <f>IFERROR(INDEX(DepartmentData!$C$2:$C$6,MATCH(E40,DepartmentData!$A$2:$A$6,0)),"")</f>
        <v>Pune</v>
      </c>
      <c r="M40" t="str">
        <f>IF(EXACT(EmpTable!B40,"NA"),C40&amp;"@"&amp;D40,EmpTable!B40)</f>
        <v>emp39@company.com</v>
      </c>
    </row>
    <row r="41" spans="1:13" x14ac:dyDescent="0.3">
      <c r="A41">
        <f t="shared" si="2"/>
        <v>40</v>
      </c>
      <c r="B41" t="str">
        <f>EmpTable!A41</f>
        <v>Employee 40</v>
      </c>
      <c r="C41" t="str">
        <f>IF(EXACT(EmpTable!B41,"NA"),"emp"&amp;A41,LEFT(EmpTable!B41,FIND("@",EmpTable!B41)-1))</f>
        <v>emp40</v>
      </c>
      <c r="D41" t="str">
        <f>IF(EXACT(EmpTable!B41,"NA"),"company.com",MID(EmpTable!B41,FIND("@",EmpTable!B41)+1,50))</f>
        <v>company.com</v>
      </c>
      <c r="E41" t="str">
        <f>EmpTable!C41</f>
        <v>Marketing</v>
      </c>
      <c r="F41" s="1">
        <f>EmpTable!D41</f>
        <v>44797</v>
      </c>
      <c r="G41" s="1">
        <f>EmpTable!E41</f>
        <v>44809</v>
      </c>
      <c r="H41">
        <f>EmpTable!F41</f>
        <v>49118</v>
      </c>
      <c r="I41">
        <f>EmpTable!G41</f>
        <v>0.14000000000000001</v>
      </c>
      <c r="J41">
        <f t="shared" si="3"/>
        <v>6876.52</v>
      </c>
      <c r="K41" t="str">
        <f>IFERROR(INDEX(DepartmentData!$B$2:$B$6,MATCH(E41,DepartmentData!$A$2:$A$6,0)),"")</f>
        <v>Charlie</v>
      </c>
      <c r="L41" t="str">
        <f>IFERROR(INDEX(DepartmentData!$C$2:$C$6,MATCH(E41,DepartmentData!$A$2:$A$6,0)),"")</f>
        <v>Bangalore</v>
      </c>
      <c r="M41" t="str">
        <f>IF(EXACT(EmpTable!B41,"NA"),C41&amp;"@"&amp;D41,EmpTable!B41)</f>
        <v>emp40@company.com</v>
      </c>
    </row>
    <row r="42" spans="1:13" x14ac:dyDescent="0.3">
      <c r="A42">
        <f t="shared" si="2"/>
        <v>41</v>
      </c>
      <c r="B42" t="str">
        <f>EmpTable!A42</f>
        <v>Employee 41</v>
      </c>
      <c r="C42" t="str">
        <f>IF(EXACT(EmpTable!B42,"NA"),"emp"&amp;A42,LEFT(EmpTable!B42,FIND("@",EmpTable!B42)-1))</f>
        <v>emp41</v>
      </c>
      <c r="D42" t="str">
        <f>IF(EXACT(EmpTable!B42,"NA"),"company.com",MID(EmpTable!B42,FIND("@",EmpTable!B42)+1,50))</f>
        <v>company.com</v>
      </c>
      <c r="E42" t="str">
        <f>EmpTable!C42</f>
        <v>Sales</v>
      </c>
      <c r="F42" s="1">
        <f>EmpTable!D42</f>
        <v>44929</v>
      </c>
      <c r="G42" s="1">
        <f>EmpTable!E42</f>
        <v>44962</v>
      </c>
      <c r="H42">
        <f>EmpTable!F42</f>
        <v>65773</v>
      </c>
      <c r="I42">
        <f>EmpTable!G42</f>
        <v>0.06</v>
      </c>
      <c r="J42">
        <f t="shared" si="3"/>
        <v>3946.3799999999997</v>
      </c>
      <c r="K42" t="str">
        <f>IFERROR(INDEX(DepartmentData!$B$2:$B$6,MATCH(E42,DepartmentData!$A$2:$A$6,0)),"")</f>
        <v>Bob</v>
      </c>
      <c r="L42" t="str">
        <f>IFERROR(INDEX(DepartmentData!$C$2:$C$6,MATCH(E42,DepartmentData!$A$2:$A$6,0)),"")</f>
        <v>Delhi</v>
      </c>
      <c r="M42" t="str">
        <f>IF(EXACT(EmpTable!B42,"NA"),C42&amp;"@"&amp;D42,EmpTable!B42)</f>
        <v>emp41@company.com</v>
      </c>
    </row>
    <row r="43" spans="1:13" x14ac:dyDescent="0.3">
      <c r="A43">
        <f t="shared" si="2"/>
        <v>42</v>
      </c>
      <c r="B43" t="str">
        <f>EmpTable!A43</f>
        <v>Employee 42</v>
      </c>
      <c r="C43" t="str">
        <f>IF(EXACT(EmpTable!B43,"NA"),"emp"&amp;A43,LEFT(EmpTable!B43,FIND("@",EmpTable!B43)-1))</f>
        <v>emp42</v>
      </c>
      <c r="D43" t="str">
        <f>IF(EXACT(EmpTable!B43,"NA"),"company.com",MID(EmpTable!B43,FIND("@",EmpTable!B43)+1,50))</f>
        <v>company.com</v>
      </c>
      <c r="E43" t="str">
        <f>EmpTable!C43</f>
        <v>Sales</v>
      </c>
      <c r="F43" s="1">
        <f>EmpTable!D43</f>
        <v>45231</v>
      </c>
      <c r="G43" s="1">
        <f>EmpTable!E43</f>
        <v>45262</v>
      </c>
      <c r="H43">
        <f>EmpTable!F43</f>
        <v>83810</v>
      </c>
      <c r="I43">
        <f>EmpTable!G43</f>
        <v>7.0000000000000007E-2</v>
      </c>
      <c r="J43">
        <f t="shared" si="3"/>
        <v>5866.7000000000007</v>
      </c>
      <c r="K43" t="str">
        <f>IFERROR(INDEX(DepartmentData!$B$2:$B$6,MATCH(E43,DepartmentData!$A$2:$A$6,0)),"")</f>
        <v>Bob</v>
      </c>
      <c r="L43" t="str">
        <f>IFERROR(INDEX(DepartmentData!$C$2:$C$6,MATCH(E43,DepartmentData!$A$2:$A$6,0)),"")</f>
        <v>Delhi</v>
      </c>
      <c r="M43" t="str">
        <f>IF(EXACT(EmpTable!B43,"NA"),C43&amp;"@"&amp;D43,EmpTable!B43)</f>
        <v>emp42@company.com</v>
      </c>
    </row>
    <row r="44" spans="1:13" x14ac:dyDescent="0.3">
      <c r="A44">
        <f t="shared" si="2"/>
        <v>43</v>
      </c>
      <c r="B44" t="str">
        <f>EmpTable!A44</f>
        <v>Employee 43</v>
      </c>
      <c r="C44" t="str">
        <f>IF(EXACT(EmpTable!B44,"NA"),"emp"&amp;A44,LEFT(EmpTable!B44,FIND("@",EmpTable!B44)-1))</f>
        <v>emp43</v>
      </c>
      <c r="D44" t="str">
        <f>IF(EXACT(EmpTable!B44,"NA"),"company.com",MID(EmpTable!B44,FIND("@",EmpTable!B44)+1,50))</f>
        <v>company.com</v>
      </c>
      <c r="E44" t="str">
        <f>EmpTable!C44</f>
        <v>Sales</v>
      </c>
      <c r="F44" s="1">
        <f>EmpTable!D44</f>
        <v>44717</v>
      </c>
      <c r="G44" s="1">
        <f>EmpTable!E44</f>
        <v>44752</v>
      </c>
      <c r="H44">
        <f>EmpTable!F44</f>
        <v>31899</v>
      </c>
      <c r="I44">
        <f>EmpTable!G44</f>
        <v>0.06</v>
      </c>
      <c r="J44">
        <f t="shared" si="3"/>
        <v>1913.9399999999998</v>
      </c>
      <c r="K44" t="str">
        <f>IFERROR(INDEX(DepartmentData!$B$2:$B$6,MATCH(E44,DepartmentData!$A$2:$A$6,0)),"")</f>
        <v>Bob</v>
      </c>
      <c r="L44" t="str">
        <f>IFERROR(INDEX(DepartmentData!$C$2:$C$6,MATCH(E44,DepartmentData!$A$2:$A$6,0)),"")</f>
        <v>Delhi</v>
      </c>
      <c r="M44" t="str">
        <f>IF(EXACT(EmpTable!B44,"NA"),C44&amp;"@"&amp;D44,EmpTable!B44)</f>
        <v>emp43@company.com</v>
      </c>
    </row>
    <row r="45" spans="1:13" x14ac:dyDescent="0.3">
      <c r="A45">
        <f t="shared" si="2"/>
        <v>44</v>
      </c>
      <c r="B45" t="str">
        <f>EmpTable!A45</f>
        <v>Employee 44</v>
      </c>
      <c r="C45" t="str">
        <f>IF(EXACT(EmpTable!B45,"NA"),"emp"&amp;A45,LEFT(EmpTable!B45,FIND("@",EmpTable!B45)-1))</f>
        <v>emp44</v>
      </c>
      <c r="D45" t="str">
        <f>IF(EXACT(EmpTable!B45,"NA"),"company.com",MID(EmpTable!B45,FIND("@",EmpTable!B45)+1,50))</f>
        <v>company.com</v>
      </c>
      <c r="E45" t="str">
        <f>EmpTable!C45</f>
        <v>IT</v>
      </c>
      <c r="F45" s="1">
        <f>EmpTable!D45</f>
        <v>45221</v>
      </c>
      <c r="G45" s="1">
        <f>EmpTable!E45</f>
        <v>45276</v>
      </c>
      <c r="H45">
        <f>EmpTable!F45</f>
        <v>86886</v>
      </c>
      <c r="I45">
        <f>EmpTable!G45</f>
        <v>0.18</v>
      </c>
      <c r="J45">
        <f t="shared" si="3"/>
        <v>15639.48</v>
      </c>
      <c r="K45" t="str">
        <f>IFERROR(INDEX(DepartmentData!$B$2:$B$6,MATCH(E45,DepartmentData!$A$2:$A$6,0)),"")</f>
        <v>Diana</v>
      </c>
      <c r="L45" t="str">
        <f>IFERROR(INDEX(DepartmentData!$C$2:$C$6,MATCH(E45,DepartmentData!$A$2:$A$6,0)),"")</f>
        <v>Hyderabad</v>
      </c>
      <c r="M45" t="str">
        <f>IF(EXACT(EmpTable!B45,"NA"),C45&amp;"@"&amp;D45,EmpTable!B45)</f>
        <v>emp44@company.com</v>
      </c>
    </row>
    <row r="46" spans="1:13" x14ac:dyDescent="0.3">
      <c r="A46">
        <f t="shared" si="2"/>
        <v>45</v>
      </c>
      <c r="B46" t="str">
        <f>EmpTable!A46</f>
        <v>Employee 45</v>
      </c>
      <c r="C46" t="str">
        <f>IF(EXACT(EmpTable!B46,"NA"),"emp"&amp;A46,LEFT(EmpTable!B46,FIND("@",EmpTable!B46)-1))</f>
        <v>emp45</v>
      </c>
      <c r="D46" t="str">
        <f>IF(EXACT(EmpTable!B46,"NA"),"company.com",MID(EmpTable!B46,FIND("@",EmpTable!B46)+1,50))</f>
        <v>company.com</v>
      </c>
      <c r="E46" t="str">
        <f>EmpTable!C46</f>
        <v>Finance</v>
      </c>
      <c r="F46" s="1">
        <f>EmpTable!D46</f>
        <v>44782</v>
      </c>
      <c r="G46" s="1">
        <f>EmpTable!E46</f>
        <v>44804</v>
      </c>
      <c r="H46">
        <f>EmpTable!F46</f>
        <v>31267</v>
      </c>
      <c r="I46">
        <f>EmpTable!G46</f>
        <v>0.11</v>
      </c>
      <c r="J46">
        <f t="shared" si="3"/>
        <v>3439.37</v>
      </c>
      <c r="K46" t="str">
        <f>IFERROR(INDEX(DepartmentData!$B$2:$B$6,MATCH(E46,DepartmentData!$A$2:$A$6,0)),"")</f>
        <v>Ethan</v>
      </c>
      <c r="L46" t="str">
        <f>IFERROR(INDEX(DepartmentData!$C$2:$C$6,MATCH(E46,DepartmentData!$A$2:$A$6,0)),"")</f>
        <v>Pune</v>
      </c>
      <c r="M46" t="str">
        <f>IF(EXACT(EmpTable!B46,"NA"),C46&amp;"@"&amp;D46,EmpTable!B46)</f>
        <v>emp45@company.com</v>
      </c>
    </row>
    <row r="47" spans="1:13" x14ac:dyDescent="0.3">
      <c r="A47">
        <f t="shared" si="2"/>
        <v>46</v>
      </c>
      <c r="B47" t="str">
        <f>EmpTable!A47</f>
        <v>Employee 46</v>
      </c>
      <c r="C47" t="str">
        <f>IF(EXACT(EmpTable!B47,"NA"),"emp"&amp;A47,LEFT(EmpTable!B47,FIND("@",EmpTable!B47)-1))</f>
        <v>emp46</v>
      </c>
      <c r="D47" t="str">
        <f>IF(EXACT(EmpTable!B47,"NA"),"company.com",MID(EmpTable!B47,FIND("@",EmpTable!B47)+1,50))</f>
        <v>company.com</v>
      </c>
      <c r="E47" t="str">
        <f>EmpTable!C47</f>
        <v>Sales</v>
      </c>
      <c r="F47" s="1">
        <f>EmpTable!D47</f>
        <v>45210</v>
      </c>
      <c r="G47" s="1">
        <f>EmpTable!E47</f>
        <v>45252</v>
      </c>
      <c r="H47">
        <f>EmpTable!F47</f>
        <v>61551</v>
      </c>
      <c r="I47">
        <f>EmpTable!G47</f>
        <v>0.15</v>
      </c>
      <c r="J47">
        <f t="shared" si="3"/>
        <v>9232.65</v>
      </c>
      <c r="K47" t="str">
        <f>IFERROR(INDEX(DepartmentData!$B$2:$B$6,MATCH(E47,DepartmentData!$A$2:$A$6,0)),"")</f>
        <v>Bob</v>
      </c>
      <c r="L47" t="str">
        <f>IFERROR(INDEX(DepartmentData!$C$2:$C$6,MATCH(E47,DepartmentData!$A$2:$A$6,0)),"")</f>
        <v>Delhi</v>
      </c>
      <c r="M47" t="str">
        <f>IF(EXACT(EmpTable!B47,"NA"),C47&amp;"@"&amp;D47,EmpTable!B47)</f>
        <v>emp46@company.com</v>
      </c>
    </row>
    <row r="48" spans="1:13" x14ac:dyDescent="0.3">
      <c r="A48">
        <f t="shared" si="2"/>
        <v>47</v>
      </c>
      <c r="B48" t="str">
        <f>EmpTable!A48</f>
        <v>Employee 47</v>
      </c>
      <c r="C48" t="str">
        <f>IF(EXACT(EmpTable!B48,"NA"),"emp"&amp;A48,LEFT(EmpTable!B48,FIND("@",EmpTable!B48)-1))</f>
        <v>emp47</v>
      </c>
      <c r="D48" t="str">
        <f>IF(EXACT(EmpTable!B48,"NA"),"company.com",MID(EmpTable!B48,FIND("@",EmpTable!B48)+1,50))</f>
        <v>company.com</v>
      </c>
      <c r="E48" t="str">
        <f>EmpTable!C48</f>
        <v>Marketing</v>
      </c>
      <c r="F48" s="1">
        <f>EmpTable!D48</f>
        <v>44582</v>
      </c>
      <c r="G48" s="1">
        <f>EmpTable!E48</f>
        <v>44615</v>
      </c>
      <c r="H48">
        <f>EmpTable!F48</f>
        <v>80680</v>
      </c>
      <c r="I48">
        <f>EmpTable!G48</f>
        <v>0.23</v>
      </c>
      <c r="J48">
        <f t="shared" si="3"/>
        <v>18556.400000000001</v>
      </c>
      <c r="K48" t="str">
        <f>IFERROR(INDEX(DepartmentData!$B$2:$B$6,MATCH(E48,DepartmentData!$A$2:$A$6,0)),"")</f>
        <v>Charlie</v>
      </c>
      <c r="L48" t="str">
        <f>IFERROR(INDEX(DepartmentData!$C$2:$C$6,MATCH(E48,DepartmentData!$A$2:$A$6,0)),"")</f>
        <v>Bangalore</v>
      </c>
      <c r="M48" t="str">
        <f>IF(EXACT(EmpTable!B48,"NA"),C48&amp;"@"&amp;D48,EmpTable!B48)</f>
        <v>emp47@company.com</v>
      </c>
    </row>
    <row r="49" spans="1:13" hidden="1" x14ac:dyDescent="0.3">
      <c r="A49">
        <f t="shared" si="2"/>
        <v>48</v>
      </c>
      <c r="B49" t="str">
        <f>EmpTable!A49</f>
        <v>Employee 48</v>
      </c>
      <c r="C49" t="str">
        <f>IF(EXACT(EmpTable!B49,"NA"),"emp"&amp;A49,LEFT(EmpTable!B49,FIND("@",EmpTable!B49)-1))</f>
        <v>emp48</v>
      </c>
      <c r="D49" t="str">
        <f>IF(EXACT(EmpTable!B49,"NA"),"company.com",MID(EmpTable!B49,FIND("@",EmpTable!B49)+1,50))</f>
        <v>company.com</v>
      </c>
      <c r="E49" t="str">
        <f>EmpTable!C49</f>
        <v>NA</v>
      </c>
      <c r="F49" s="1">
        <f>EmpTable!D49</f>
        <v>44617</v>
      </c>
      <c r="G49" s="1">
        <f>EmpTable!E49</f>
        <v>44675</v>
      </c>
      <c r="H49">
        <f>EmpTable!F49</f>
        <v>41394</v>
      </c>
      <c r="I49">
        <f>EmpTable!G49</f>
        <v>0.1</v>
      </c>
      <c r="J49">
        <f t="shared" si="3"/>
        <v>4139.4000000000005</v>
      </c>
      <c r="K49" t="str">
        <f>IFERROR(INDEX(DepartmentData!$B$2:$B$6,MATCH(E49,DepartmentData!$A$2:$A$6,0)),"")</f>
        <v/>
      </c>
      <c r="L49" t="str">
        <f>IFERROR(INDEX(DepartmentData!$C$2:$C$6,MATCH(E49,DepartmentData!$A$2:$A$6,0)),"")</f>
        <v/>
      </c>
      <c r="M49" t="str">
        <f>IF(EXACT(EmpTable!B49,"NA"),C49&amp;"@"&amp;D49,EmpTable!B49)</f>
        <v>emp48@company.com</v>
      </c>
    </row>
    <row r="50" spans="1:13" x14ac:dyDescent="0.3">
      <c r="A50">
        <f t="shared" si="2"/>
        <v>49</v>
      </c>
      <c r="B50" t="str">
        <f>EmpTable!A50</f>
        <v>Employee 49</v>
      </c>
      <c r="C50" t="str">
        <f>IF(EXACT(EmpTable!B50,"NA"),"emp"&amp;A50,LEFT(EmpTable!B50,FIND("@",EmpTable!B50)-1))</f>
        <v>emp49</v>
      </c>
      <c r="D50" t="str">
        <f>IF(EXACT(EmpTable!B50,"NA"),"company.com",MID(EmpTable!B50,FIND("@",EmpTable!B50)+1,50))</f>
        <v>company.com</v>
      </c>
      <c r="E50" t="str">
        <f>EmpTable!C50</f>
        <v>IT</v>
      </c>
      <c r="F50" s="1">
        <f>EmpTable!D50</f>
        <v>44577</v>
      </c>
      <c r="G50" s="1">
        <f>EmpTable!E50</f>
        <v>44620</v>
      </c>
      <c r="H50">
        <f>EmpTable!F50</f>
        <v>33556</v>
      </c>
      <c r="I50">
        <f>EmpTable!G50</f>
        <v>0.13</v>
      </c>
      <c r="J50">
        <f t="shared" si="3"/>
        <v>4362.28</v>
      </c>
      <c r="K50" t="str">
        <f>IFERROR(INDEX(DepartmentData!$B$2:$B$6,MATCH(E50,DepartmentData!$A$2:$A$6,0)),"")</f>
        <v>Diana</v>
      </c>
      <c r="L50" t="str">
        <f>IFERROR(INDEX(DepartmentData!$C$2:$C$6,MATCH(E50,DepartmentData!$A$2:$A$6,0)),"")</f>
        <v>Hyderabad</v>
      </c>
      <c r="M50" t="str">
        <f>IF(EXACT(EmpTable!B50,"NA"),C50&amp;"@"&amp;D50,EmpTable!B50)</f>
        <v>emp49@company.com</v>
      </c>
    </row>
    <row r="51" spans="1:13" x14ac:dyDescent="0.3">
      <c r="A51">
        <f t="shared" si="2"/>
        <v>50</v>
      </c>
      <c r="B51" t="str">
        <f>EmpTable!A51</f>
        <v>Employee 50</v>
      </c>
      <c r="C51" t="str">
        <f>IF(EXACT(EmpTable!B51,"NA"),"emp"&amp;A51,LEFT(EmpTable!B51,FIND("@",EmpTable!B51)-1))</f>
        <v>emp50</v>
      </c>
      <c r="D51" t="str">
        <f>IF(EXACT(EmpTable!B51,"NA"),"company.com",MID(EmpTable!B51,FIND("@",EmpTable!B51)+1,50))</f>
        <v>company.com</v>
      </c>
      <c r="E51" t="str">
        <f>EmpTable!C51</f>
        <v>IT</v>
      </c>
      <c r="F51" s="1">
        <f>EmpTable!D51</f>
        <v>44629</v>
      </c>
      <c r="G51" s="1">
        <f>EmpTable!E51</f>
        <v>44639</v>
      </c>
      <c r="H51">
        <f>EmpTable!F51</f>
        <v>33890</v>
      </c>
      <c r="I51">
        <f>EmpTable!G51</f>
        <v>0.2</v>
      </c>
      <c r="J51">
        <f t="shared" si="3"/>
        <v>6778</v>
      </c>
      <c r="K51" t="str">
        <f>IFERROR(INDEX(DepartmentData!$B$2:$B$6,MATCH(E51,DepartmentData!$A$2:$A$6,0)),"")</f>
        <v>Diana</v>
      </c>
      <c r="L51" t="str">
        <f>IFERROR(INDEX(DepartmentData!$C$2:$C$6,MATCH(E51,DepartmentData!$A$2:$A$6,0)),"")</f>
        <v>Hyderabad</v>
      </c>
      <c r="M51" t="str">
        <f>IF(EXACT(EmpTable!B51,"NA"),C51&amp;"@"&amp;D51,EmpTable!B51)</f>
        <v>emp50@company.com</v>
      </c>
    </row>
    <row r="52" spans="1:13" hidden="1" x14ac:dyDescent="0.3">
      <c r="A52">
        <f t="shared" si="2"/>
        <v>51</v>
      </c>
      <c r="B52" t="str">
        <f>EmpTable!A52</f>
        <v>Employee 51</v>
      </c>
      <c r="C52" t="str">
        <f>IF(EXACT(EmpTable!B52,"NA"),"emp"&amp;A52,LEFT(EmpTable!B52,FIND("@",EmpTable!B52)-1))</f>
        <v>emp51</v>
      </c>
      <c r="D52" t="str">
        <f>IF(EXACT(EmpTable!B52,"NA"),"company.com",MID(EmpTable!B52,FIND("@",EmpTable!B52)+1,50))</f>
        <v>company.com</v>
      </c>
      <c r="E52" t="str">
        <f>EmpTable!C52</f>
        <v>NA</v>
      </c>
      <c r="F52" s="1">
        <f>EmpTable!D52</f>
        <v>44865</v>
      </c>
      <c r="G52" s="1">
        <f>EmpTable!E52</f>
        <v>44907</v>
      </c>
      <c r="H52">
        <f>EmpTable!F52</f>
        <v>71606</v>
      </c>
      <c r="I52">
        <f>EmpTable!G52</f>
        <v>0.1</v>
      </c>
      <c r="J52">
        <f t="shared" si="3"/>
        <v>7160.6</v>
      </c>
      <c r="K52" t="str">
        <f>IFERROR(INDEX(DepartmentData!$B$2:$B$6,MATCH(E52,DepartmentData!$A$2:$A$6,0)),"")</f>
        <v/>
      </c>
      <c r="L52" t="str">
        <f>IFERROR(INDEX(DepartmentData!$C$2:$C$6,MATCH(E52,DepartmentData!$A$2:$A$6,0)),"")</f>
        <v/>
      </c>
      <c r="M52" t="str">
        <f>IF(EXACT(EmpTable!B52,"NA"),C52&amp;"@"&amp;D52,EmpTable!B52)</f>
        <v>emp51@company.com</v>
      </c>
    </row>
    <row r="53" spans="1:13" x14ac:dyDescent="0.3">
      <c r="A53">
        <f t="shared" si="2"/>
        <v>52</v>
      </c>
      <c r="B53" t="str">
        <f>EmpTable!A53</f>
        <v>Employee 52</v>
      </c>
      <c r="C53" t="str">
        <f>IF(EXACT(EmpTable!B53,"NA"),"emp"&amp;A53,LEFT(EmpTable!B53,FIND("@",EmpTable!B53)-1))</f>
        <v>emp52</v>
      </c>
      <c r="D53" t="str">
        <f>IF(EXACT(EmpTable!B53,"NA"),"company.com",MID(EmpTable!B53,FIND("@",EmpTable!B53)+1,50))</f>
        <v>company.com</v>
      </c>
      <c r="E53" t="str">
        <f>EmpTable!C53</f>
        <v>Finance</v>
      </c>
      <c r="F53" s="1">
        <f>EmpTable!D53</f>
        <v>44846</v>
      </c>
      <c r="G53" s="1">
        <f>EmpTable!E53</f>
        <v>44867</v>
      </c>
      <c r="H53">
        <f>EmpTable!F53</f>
        <v>60740</v>
      </c>
      <c r="I53">
        <f>EmpTable!G53</f>
        <v>7.0000000000000007E-2</v>
      </c>
      <c r="J53">
        <f t="shared" si="3"/>
        <v>4251.8</v>
      </c>
      <c r="K53" t="str">
        <f>IFERROR(INDEX(DepartmentData!$B$2:$B$6,MATCH(E53,DepartmentData!$A$2:$A$6,0)),"")</f>
        <v>Ethan</v>
      </c>
      <c r="L53" t="str">
        <f>IFERROR(INDEX(DepartmentData!$C$2:$C$6,MATCH(E53,DepartmentData!$A$2:$A$6,0)),"")</f>
        <v>Pune</v>
      </c>
      <c r="M53" t="str">
        <f>IF(EXACT(EmpTable!B53,"NA"),C53&amp;"@"&amp;D53,EmpTable!B53)</f>
        <v>emp52@company.com</v>
      </c>
    </row>
    <row r="54" spans="1:13" x14ac:dyDescent="0.3">
      <c r="A54">
        <f t="shared" si="2"/>
        <v>53</v>
      </c>
      <c r="B54" t="str">
        <f>EmpTable!A54</f>
        <v>Employee 53</v>
      </c>
      <c r="C54" t="str">
        <f>IF(EXACT(EmpTable!B54,"NA"),"emp"&amp;A54,LEFT(EmpTable!B54,FIND("@",EmpTable!B54)-1))</f>
        <v>emp53</v>
      </c>
      <c r="D54" t="str">
        <f>IF(EXACT(EmpTable!B54,"NA"),"company.com",MID(EmpTable!B54,FIND("@",EmpTable!B54)+1,50))</f>
        <v>company.com</v>
      </c>
      <c r="E54" t="str">
        <f>EmpTable!C54</f>
        <v>Finance</v>
      </c>
      <c r="F54" s="1">
        <f>EmpTable!D54</f>
        <v>45016</v>
      </c>
      <c r="G54" s="1">
        <f>EmpTable!E54</f>
        <v>45063</v>
      </c>
      <c r="H54">
        <f>EmpTable!F54</f>
        <v>44502</v>
      </c>
      <c r="I54">
        <f>EmpTable!G54</f>
        <v>0.11</v>
      </c>
      <c r="J54">
        <f t="shared" si="3"/>
        <v>4895.22</v>
      </c>
      <c r="K54" t="str">
        <f>IFERROR(INDEX(DepartmentData!$B$2:$B$6,MATCH(E54,DepartmentData!$A$2:$A$6,0)),"")</f>
        <v>Ethan</v>
      </c>
      <c r="L54" t="str">
        <f>IFERROR(INDEX(DepartmentData!$C$2:$C$6,MATCH(E54,DepartmentData!$A$2:$A$6,0)),"")</f>
        <v>Pune</v>
      </c>
      <c r="M54" t="str">
        <f>IF(EXACT(EmpTable!B54,"NA"),C54&amp;"@"&amp;D54,EmpTable!B54)</f>
        <v>emp53@company.com</v>
      </c>
    </row>
    <row r="55" spans="1:13" x14ac:dyDescent="0.3">
      <c r="A55">
        <f t="shared" si="2"/>
        <v>54</v>
      </c>
      <c r="B55" t="str">
        <f>EmpTable!A55</f>
        <v>Employee 54</v>
      </c>
      <c r="C55" t="str">
        <f>IF(EXACT(EmpTable!B55,"NA"),"emp"&amp;A55,LEFT(EmpTable!B55,FIND("@",EmpTable!B55)-1))</f>
        <v>emp54</v>
      </c>
      <c r="D55" t="str">
        <f>IF(EXACT(EmpTable!B55,"NA"),"company.com",MID(EmpTable!B55,FIND("@",EmpTable!B55)+1,50))</f>
        <v>company.com</v>
      </c>
      <c r="E55" t="str">
        <f>EmpTable!C55</f>
        <v>Sales</v>
      </c>
      <c r="F55" s="1">
        <f>EmpTable!D55</f>
        <v>45240</v>
      </c>
      <c r="G55" s="1">
        <f>EmpTable!E55</f>
        <v>45252</v>
      </c>
      <c r="H55">
        <f>EmpTable!F55</f>
        <v>51777</v>
      </c>
      <c r="I55">
        <f>EmpTable!G55</f>
        <v>0.08</v>
      </c>
      <c r="J55">
        <f t="shared" si="3"/>
        <v>4142.16</v>
      </c>
      <c r="K55" t="str">
        <f>IFERROR(INDEX(DepartmentData!$B$2:$B$6,MATCH(E55,DepartmentData!$A$2:$A$6,0)),"")</f>
        <v>Bob</v>
      </c>
      <c r="L55" t="str">
        <f>IFERROR(INDEX(DepartmentData!$C$2:$C$6,MATCH(E55,DepartmentData!$A$2:$A$6,0)),"")</f>
        <v>Delhi</v>
      </c>
      <c r="M55" t="str">
        <f>IF(EXACT(EmpTable!B55,"NA"),C55&amp;"@"&amp;D55,EmpTable!B55)</f>
        <v>emp54@company.com</v>
      </c>
    </row>
    <row r="56" spans="1:13" hidden="1" x14ac:dyDescent="0.3">
      <c r="A56">
        <f t="shared" si="2"/>
        <v>55</v>
      </c>
      <c r="B56" t="str">
        <f>EmpTable!A56</f>
        <v>Employee 55</v>
      </c>
      <c r="C56" t="str">
        <f>IF(EXACT(EmpTable!B56,"NA"),"emp"&amp;A56,LEFT(EmpTable!B56,FIND("@",EmpTable!B56)-1))</f>
        <v>emp55</v>
      </c>
      <c r="D56" t="str">
        <f>IF(EXACT(EmpTable!B56,"NA"),"company.com",MID(EmpTable!B56,FIND("@",EmpTable!B56)+1,50))</f>
        <v>company.com</v>
      </c>
      <c r="E56" t="str">
        <f>EmpTable!C56</f>
        <v>NA</v>
      </c>
      <c r="F56" s="1">
        <f>EmpTable!D56</f>
        <v>44662</v>
      </c>
      <c r="G56" s="1">
        <f>EmpTable!E56</f>
        <v>44712</v>
      </c>
      <c r="H56">
        <f>EmpTable!F56</f>
        <v>40627</v>
      </c>
      <c r="I56">
        <f>EmpTable!G56</f>
        <v>0.24</v>
      </c>
      <c r="J56">
        <f t="shared" si="3"/>
        <v>9750.48</v>
      </c>
      <c r="K56" t="str">
        <f>IFERROR(INDEX(DepartmentData!$B$2:$B$6,MATCH(E56,DepartmentData!$A$2:$A$6,0)),"")</f>
        <v/>
      </c>
      <c r="L56" t="str">
        <f>IFERROR(INDEX(DepartmentData!$C$2:$C$6,MATCH(E56,DepartmentData!$A$2:$A$6,0)),"")</f>
        <v/>
      </c>
      <c r="M56" t="str">
        <f>IF(EXACT(EmpTable!B56,"NA"),C56&amp;"@"&amp;D56,EmpTable!B56)</f>
        <v>emp55@company.com</v>
      </c>
    </row>
    <row r="57" spans="1:13" x14ac:dyDescent="0.3">
      <c r="A57">
        <f t="shared" si="2"/>
        <v>56</v>
      </c>
      <c r="B57" t="str">
        <f>EmpTable!A57</f>
        <v>Employee 56</v>
      </c>
      <c r="C57" t="str">
        <f>IF(EXACT(EmpTable!B57,"NA"),"emp"&amp;A57,LEFT(EmpTable!B57,FIND("@",EmpTable!B57)-1))</f>
        <v>emp56</v>
      </c>
      <c r="D57" t="str">
        <f>IF(EXACT(EmpTable!B57,"NA"),"company.com",MID(EmpTable!B57,FIND("@",EmpTable!B57)+1,50))</f>
        <v>company.com</v>
      </c>
      <c r="E57" t="str">
        <f>EmpTable!C57</f>
        <v>IT</v>
      </c>
      <c r="F57" s="1">
        <f>EmpTable!D57</f>
        <v>44695</v>
      </c>
      <c r="G57" s="1">
        <f>EmpTable!E57</f>
        <v>44705</v>
      </c>
      <c r="H57">
        <f>EmpTable!F57</f>
        <v>38792</v>
      </c>
      <c r="I57">
        <f>EmpTable!G57</f>
        <v>0.21</v>
      </c>
      <c r="J57">
        <f t="shared" si="3"/>
        <v>8146.32</v>
      </c>
      <c r="K57" t="str">
        <f>IFERROR(INDEX(DepartmentData!$B$2:$B$6,MATCH(E57,DepartmentData!$A$2:$A$6,0)),"")</f>
        <v>Diana</v>
      </c>
      <c r="L57" t="str">
        <f>IFERROR(INDEX(DepartmentData!$C$2:$C$6,MATCH(E57,DepartmentData!$A$2:$A$6,0)),"")</f>
        <v>Hyderabad</v>
      </c>
      <c r="M57" t="str">
        <f>IF(EXACT(EmpTable!B57,"NA"),C57&amp;"@"&amp;D57,EmpTable!B57)</f>
        <v>emp56@company.com</v>
      </c>
    </row>
    <row r="58" spans="1:13" x14ac:dyDescent="0.3">
      <c r="A58">
        <f t="shared" si="2"/>
        <v>57</v>
      </c>
      <c r="B58" t="str">
        <f>EmpTable!A58</f>
        <v>Employee 57</v>
      </c>
      <c r="C58" t="str">
        <f>IF(EXACT(EmpTable!B58,"NA"),"emp"&amp;A58,LEFT(EmpTable!B58,FIND("@",EmpTable!B58)-1))</f>
        <v>emp57</v>
      </c>
      <c r="D58" t="str">
        <f>IF(EXACT(EmpTable!B58,"NA"),"company.com",MID(EmpTable!B58,FIND("@",EmpTable!B58)+1,50))</f>
        <v>company.com</v>
      </c>
      <c r="E58" t="str">
        <f>EmpTable!C58</f>
        <v>Sales</v>
      </c>
      <c r="F58" s="1">
        <f>EmpTable!D58</f>
        <v>45076</v>
      </c>
      <c r="G58" s="1">
        <f>EmpTable!E58</f>
        <v>45099</v>
      </c>
      <c r="H58">
        <f>EmpTable!F58</f>
        <v>73323</v>
      </c>
      <c r="I58">
        <f>EmpTable!G58</f>
        <v>0.18</v>
      </c>
      <c r="J58">
        <f t="shared" si="3"/>
        <v>13198.14</v>
      </c>
      <c r="K58" t="str">
        <f>IFERROR(INDEX(DepartmentData!$B$2:$B$6,MATCH(E58,DepartmentData!$A$2:$A$6,0)),"")</f>
        <v>Bob</v>
      </c>
      <c r="L58" t="str">
        <f>IFERROR(INDEX(DepartmentData!$C$2:$C$6,MATCH(E58,DepartmentData!$A$2:$A$6,0)),"")</f>
        <v>Delhi</v>
      </c>
      <c r="M58" t="str">
        <f>IF(EXACT(EmpTable!B58,"NA"),C58&amp;"@"&amp;D58,EmpTable!B58)</f>
        <v>emp57@company.com</v>
      </c>
    </row>
    <row r="59" spans="1:13" x14ac:dyDescent="0.3">
      <c r="A59">
        <f t="shared" si="2"/>
        <v>58</v>
      </c>
      <c r="B59" t="str">
        <f>EmpTable!A59</f>
        <v>Employee 58</v>
      </c>
      <c r="C59" t="str">
        <f>IF(EXACT(EmpTable!B59,"NA"),"emp"&amp;A59,LEFT(EmpTable!B59,FIND("@",EmpTable!B59)-1))</f>
        <v>emp58</v>
      </c>
      <c r="D59" t="str">
        <f>IF(EXACT(EmpTable!B59,"NA"),"company.com",MID(EmpTable!B59,FIND("@",EmpTable!B59)+1,50))</f>
        <v>company.com</v>
      </c>
      <c r="E59" t="str">
        <f>EmpTable!C59</f>
        <v>IT</v>
      </c>
      <c r="F59" s="1">
        <f>EmpTable!D59</f>
        <v>44702</v>
      </c>
      <c r="G59" s="1">
        <f>EmpTable!E59</f>
        <v>44749</v>
      </c>
      <c r="H59">
        <f>EmpTable!F59</f>
        <v>73021</v>
      </c>
      <c r="I59">
        <f>EmpTable!G59</f>
        <v>0.22</v>
      </c>
      <c r="J59">
        <f t="shared" si="3"/>
        <v>16064.62</v>
      </c>
      <c r="K59" t="str">
        <f>IFERROR(INDEX(DepartmentData!$B$2:$B$6,MATCH(E59,DepartmentData!$A$2:$A$6,0)),"")</f>
        <v>Diana</v>
      </c>
      <c r="L59" t="str">
        <f>IFERROR(INDEX(DepartmentData!$C$2:$C$6,MATCH(E59,DepartmentData!$A$2:$A$6,0)),"")</f>
        <v>Hyderabad</v>
      </c>
      <c r="M59" t="str">
        <f>IF(EXACT(EmpTable!B59,"NA"),C59&amp;"@"&amp;D59,EmpTable!B59)</f>
        <v>emp58@company.com</v>
      </c>
    </row>
    <row r="60" spans="1:13" x14ac:dyDescent="0.3">
      <c r="A60">
        <f t="shared" si="2"/>
        <v>59</v>
      </c>
      <c r="B60" t="str">
        <f>EmpTable!A60</f>
        <v>Employee 59</v>
      </c>
      <c r="C60" t="str">
        <f>IF(EXACT(EmpTable!B60,"NA"),"emp"&amp;A60,LEFT(EmpTable!B60,FIND("@",EmpTable!B60)-1))</f>
        <v>emp59</v>
      </c>
      <c r="D60" t="str">
        <f>IF(EXACT(EmpTable!B60,"NA"),"company.com",MID(EmpTable!B60,FIND("@",EmpTable!B60)+1,50))</f>
        <v>company.com</v>
      </c>
      <c r="E60" t="str">
        <f>EmpTable!C60</f>
        <v>Finance</v>
      </c>
      <c r="F60" s="1">
        <f>EmpTable!D60</f>
        <v>45052</v>
      </c>
      <c r="G60" s="1">
        <f>EmpTable!E60</f>
        <v>45068</v>
      </c>
      <c r="H60">
        <f>EmpTable!F60</f>
        <v>38433</v>
      </c>
      <c r="I60">
        <f>EmpTable!G60</f>
        <v>0.21</v>
      </c>
      <c r="J60">
        <f t="shared" si="3"/>
        <v>8070.9299999999994</v>
      </c>
      <c r="K60" t="str">
        <f>IFERROR(INDEX(DepartmentData!$B$2:$B$6,MATCH(E60,DepartmentData!$A$2:$A$6,0)),"")</f>
        <v>Ethan</v>
      </c>
      <c r="L60" t="str">
        <f>IFERROR(INDEX(DepartmentData!$C$2:$C$6,MATCH(E60,DepartmentData!$A$2:$A$6,0)),"")</f>
        <v>Pune</v>
      </c>
      <c r="M60" t="str">
        <f>IF(EXACT(EmpTable!B60,"NA"),C60&amp;"@"&amp;D60,EmpTable!B60)</f>
        <v>emp59@company.com</v>
      </c>
    </row>
    <row r="61" spans="1:13" x14ac:dyDescent="0.3">
      <c r="A61">
        <f t="shared" si="2"/>
        <v>60</v>
      </c>
      <c r="B61" t="str">
        <f>EmpTable!A61</f>
        <v>Employee 60</v>
      </c>
      <c r="C61" t="str">
        <f>IF(EXACT(EmpTable!B61,"NA"),"emp"&amp;A61,LEFT(EmpTable!B61,FIND("@",EmpTable!B61)-1))</f>
        <v>emp60</v>
      </c>
      <c r="D61" t="str">
        <f>IF(EXACT(EmpTable!B61,"NA"),"company.com",MID(EmpTable!B61,FIND("@",EmpTable!B61)+1,50))</f>
        <v>company.com</v>
      </c>
      <c r="E61" t="str">
        <f>EmpTable!C61</f>
        <v>Marketing</v>
      </c>
      <c r="F61" s="1">
        <f>EmpTable!D61</f>
        <v>45082</v>
      </c>
      <c r="G61" s="1">
        <f>EmpTable!E61</f>
        <v>45108</v>
      </c>
      <c r="H61">
        <f>EmpTable!F61</f>
        <v>73001</v>
      </c>
      <c r="I61">
        <f>EmpTable!G61</f>
        <v>0.09</v>
      </c>
      <c r="J61">
        <f t="shared" si="3"/>
        <v>6570.09</v>
      </c>
      <c r="K61" t="str">
        <f>IFERROR(INDEX(DepartmentData!$B$2:$B$6,MATCH(E61,DepartmentData!$A$2:$A$6,0)),"")</f>
        <v>Charlie</v>
      </c>
      <c r="L61" t="str">
        <f>IFERROR(INDEX(DepartmentData!$C$2:$C$6,MATCH(E61,DepartmentData!$A$2:$A$6,0)),"")</f>
        <v>Bangalore</v>
      </c>
      <c r="M61" t="str">
        <f>IF(EXACT(EmpTable!B61,"NA"),C61&amp;"@"&amp;D61,EmpTable!B61)</f>
        <v>emp60@company.com</v>
      </c>
    </row>
    <row r="62" spans="1:13" x14ac:dyDescent="0.3">
      <c r="A62">
        <f t="shared" si="2"/>
        <v>61</v>
      </c>
      <c r="B62" t="str">
        <f>EmpTable!A62</f>
        <v>Employee 61</v>
      </c>
      <c r="C62" t="str">
        <f>IF(EXACT(EmpTable!B62,"NA"),"emp"&amp;A62,LEFT(EmpTable!B62,FIND("@",EmpTable!B62)-1))</f>
        <v>emp61</v>
      </c>
      <c r="D62" t="str">
        <f>IF(EXACT(EmpTable!B62,"NA"),"company.com",MID(EmpTable!B62,FIND("@",EmpTable!B62)+1,50))</f>
        <v>company.com</v>
      </c>
      <c r="E62" t="str">
        <f>EmpTable!C62</f>
        <v>Marketing</v>
      </c>
      <c r="F62" s="1">
        <f>EmpTable!D62</f>
        <v>45121</v>
      </c>
      <c r="G62" s="1">
        <f>EmpTable!E62</f>
        <v>45146</v>
      </c>
      <c r="H62">
        <f>EmpTable!F62</f>
        <v>41016</v>
      </c>
      <c r="I62">
        <f>EmpTable!G62</f>
        <v>0.23</v>
      </c>
      <c r="J62">
        <f t="shared" si="3"/>
        <v>9433.68</v>
      </c>
      <c r="K62" t="str">
        <f>IFERROR(INDEX(DepartmentData!$B$2:$B$6,MATCH(E62,DepartmentData!$A$2:$A$6,0)),"")</f>
        <v>Charlie</v>
      </c>
      <c r="L62" t="str">
        <f>IFERROR(INDEX(DepartmentData!$C$2:$C$6,MATCH(E62,DepartmentData!$A$2:$A$6,0)),"")</f>
        <v>Bangalore</v>
      </c>
      <c r="M62" t="str">
        <f>IF(EXACT(EmpTable!B62,"NA"),C62&amp;"@"&amp;D62,EmpTable!B62)</f>
        <v>emp61@company.com</v>
      </c>
    </row>
    <row r="63" spans="1:13" hidden="1" x14ac:dyDescent="0.3">
      <c r="A63">
        <f t="shared" si="2"/>
        <v>62</v>
      </c>
      <c r="B63" t="str">
        <f>EmpTable!A63</f>
        <v>Employee 62</v>
      </c>
      <c r="C63" t="str">
        <f>IF(EXACT(EmpTable!B63,"NA"),"emp"&amp;A63,LEFT(EmpTable!B63,FIND("@",EmpTable!B63)-1))</f>
        <v>emp62</v>
      </c>
      <c r="D63" t="str">
        <f>IF(EXACT(EmpTable!B63,"NA"),"company.com",MID(EmpTable!B63,FIND("@",EmpTable!B63)+1,50))</f>
        <v>company.com</v>
      </c>
      <c r="E63" t="str">
        <f>EmpTable!C63</f>
        <v>NA</v>
      </c>
      <c r="F63" s="1">
        <f>EmpTable!D63</f>
        <v>45081</v>
      </c>
      <c r="G63" s="1">
        <f>EmpTable!E63</f>
        <v>45092</v>
      </c>
      <c r="H63">
        <f>EmpTable!F63</f>
        <v>53897</v>
      </c>
      <c r="I63">
        <f>EmpTable!G63</f>
        <v>0.16</v>
      </c>
      <c r="J63">
        <f t="shared" si="3"/>
        <v>8623.52</v>
      </c>
      <c r="K63" t="str">
        <f>IFERROR(INDEX(DepartmentData!$B$2:$B$6,MATCH(E63,DepartmentData!$A$2:$A$6,0)),"")</f>
        <v/>
      </c>
      <c r="L63" t="str">
        <f>IFERROR(INDEX(DepartmentData!$C$2:$C$6,MATCH(E63,DepartmentData!$A$2:$A$6,0)),"")</f>
        <v/>
      </c>
      <c r="M63" t="str">
        <f>IF(EXACT(EmpTable!B63,"NA"),C63&amp;"@"&amp;D63,EmpTable!B63)</f>
        <v>emp62@company.com</v>
      </c>
    </row>
    <row r="64" spans="1:13" x14ac:dyDescent="0.3">
      <c r="A64">
        <f t="shared" si="2"/>
        <v>63</v>
      </c>
      <c r="B64" t="str">
        <f>EmpTable!A64</f>
        <v>Employee 63</v>
      </c>
      <c r="C64" t="str">
        <f>IF(EXACT(EmpTable!B64,"NA"),"emp"&amp;A64,LEFT(EmpTable!B64,FIND("@",EmpTable!B64)-1))</f>
        <v>emp63</v>
      </c>
      <c r="D64" t="str">
        <f>IF(EXACT(EmpTable!B64,"NA"),"company.com",MID(EmpTable!B64,FIND("@",EmpTable!B64)+1,50))</f>
        <v>company.com</v>
      </c>
      <c r="E64" t="str">
        <f>EmpTable!C64</f>
        <v>IT</v>
      </c>
      <c r="F64" s="1">
        <f>EmpTable!D64</f>
        <v>44682</v>
      </c>
      <c r="G64" s="1">
        <f>EmpTable!E64</f>
        <v>44728</v>
      </c>
      <c r="H64">
        <f>EmpTable!F64</f>
        <v>32612</v>
      </c>
      <c r="I64">
        <f>EmpTable!G64</f>
        <v>0.21</v>
      </c>
      <c r="J64">
        <f t="shared" si="3"/>
        <v>6848.5199999999995</v>
      </c>
      <c r="K64" t="str">
        <f>IFERROR(INDEX(DepartmentData!$B$2:$B$6,MATCH(E64,DepartmentData!$A$2:$A$6,0)),"")</f>
        <v>Diana</v>
      </c>
      <c r="L64" t="str">
        <f>IFERROR(INDEX(DepartmentData!$C$2:$C$6,MATCH(E64,DepartmentData!$A$2:$A$6,0)),"")</f>
        <v>Hyderabad</v>
      </c>
      <c r="M64" t="str">
        <f>IF(EXACT(EmpTable!B64,"NA"),C64&amp;"@"&amp;D64,EmpTable!B64)</f>
        <v>emp63@company.com</v>
      </c>
    </row>
    <row r="65" spans="1:13" x14ac:dyDescent="0.3">
      <c r="A65">
        <f t="shared" si="2"/>
        <v>64</v>
      </c>
      <c r="B65" t="str">
        <f>EmpTable!A65</f>
        <v>Employee 64</v>
      </c>
      <c r="C65" t="str">
        <f>IF(EXACT(EmpTable!B65,"NA"),"emp"&amp;A65,LEFT(EmpTable!B65,FIND("@",EmpTable!B65)-1))</f>
        <v>emp64</v>
      </c>
      <c r="D65" t="str">
        <f>IF(EXACT(EmpTable!B65,"NA"),"company.com",MID(EmpTable!B65,FIND("@",EmpTable!B65)+1,50))</f>
        <v>company.com</v>
      </c>
      <c r="E65" t="str">
        <f>EmpTable!C65</f>
        <v>IT</v>
      </c>
      <c r="F65" s="1">
        <f>EmpTable!D65</f>
        <v>44906</v>
      </c>
      <c r="G65" s="1">
        <f>EmpTable!E65</f>
        <v>44932</v>
      </c>
      <c r="H65">
        <f>EmpTable!F65</f>
        <v>86193</v>
      </c>
      <c r="I65">
        <f>EmpTable!G65</f>
        <v>0.23</v>
      </c>
      <c r="J65">
        <f t="shared" si="3"/>
        <v>19824.39</v>
      </c>
      <c r="K65" t="str">
        <f>IFERROR(INDEX(DepartmentData!$B$2:$B$6,MATCH(E65,DepartmentData!$A$2:$A$6,0)),"")</f>
        <v>Diana</v>
      </c>
      <c r="L65" t="str">
        <f>IFERROR(INDEX(DepartmentData!$C$2:$C$6,MATCH(E65,DepartmentData!$A$2:$A$6,0)),"")</f>
        <v>Hyderabad</v>
      </c>
      <c r="M65" t="str">
        <f>IF(EXACT(EmpTable!B65,"NA"),C65&amp;"@"&amp;D65,EmpTable!B65)</f>
        <v>emp64@company.com</v>
      </c>
    </row>
    <row r="66" spans="1:13" x14ac:dyDescent="0.3">
      <c r="A66">
        <f t="shared" ref="A66:A97" si="4">ROW()-1</f>
        <v>65</v>
      </c>
      <c r="B66" t="str">
        <f>EmpTable!A66</f>
        <v>Employee 65</v>
      </c>
      <c r="C66" t="str">
        <f>IF(EXACT(EmpTable!B66,"NA"),"emp"&amp;A66,LEFT(EmpTable!B66,FIND("@",EmpTable!B66)-1))</f>
        <v>emp65</v>
      </c>
      <c r="D66" t="str">
        <f>IF(EXACT(EmpTable!B66,"NA"),"company.com",MID(EmpTable!B66,FIND("@",EmpTable!B66)+1,50))</f>
        <v>company.com</v>
      </c>
      <c r="E66" t="str">
        <f>EmpTable!C66</f>
        <v>Finance</v>
      </c>
      <c r="F66" s="1">
        <f>EmpTable!D66</f>
        <v>44654</v>
      </c>
      <c r="G66" s="1">
        <f>EmpTable!E66</f>
        <v>44705</v>
      </c>
      <c r="H66">
        <f>EmpTable!F66</f>
        <v>88707</v>
      </c>
      <c r="I66">
        <f>EmpTable!G66</f>
        <v>0.11</v>
      </c>
      <c r="J66">
        <f t="shared" ref="J66:J97" si="5">H66*I66</f>
        <v>9757.77</v>
      </c>
      <c r="K66" t="str">
        <f>IFERROR(INDEX(DepartmentData!$B$2:$B$6,MATCH(E66,DepartmentData!$A$2:$A$6,0)),"")</f>
        <v>Ethan</v>
      </c>
      <c r="L66" t="str">
        <f>IFERROR(INDEX(DepartmentData!$C$2:$C$6,MATCH(E66,DepartmentData!$A$2:$A$6,0)),"")</f>
        <v>Pune</v>
      </c>
      <c r="M66" t="str">
        <f>IF(EXACT(EmpTable!B66,"NA"),C66&amp;"@"&amp;D66,EmpTable!B66)</f>
        <v>emp65@company.com</v>
      </c>
    </row>
    <row r="67" spans="1:13" x14ac:dyDescent="0.3">
      <c r="A67">
        <f t="shared" si="4"/>
        <v>66</v>
      </c>
      <c r="B67" t="str">
        <f>EmpTable!A67</f>
        <v>Employee 66</v>
      </c>
      <c r="C67" t="str">
        <f>IF(EXACT(EmpTable!B67,"NA"),"emp"&amp;A67,LEFT(EmpTable!B67,FIND("@",EmpTable!B67)-1))</f>
        <v>emp66</v>
      </c>
      <c r="D67" t="str">
        <f>IF(EXACT(EmpTable!B67,"NA"),"company.com",MID(EmpTable!B67,FIND("@",EmpTable!B67)+1,50))</f>
        <v>company.com</v>
      </c>
      <c r="E67" t="str">
        <f>EmpTable!C67</f>
        <v>Marketing</v>
      </c>
      <c r="F67" s="1">
        <f>EmpTable!D67</f>
        <v>45266</v>
      </c>
      <c r="G67" s="1">
        <f>EmpTable!E67</f>
        <v>45289</v>
      </c>
      <c r="H67">
        <f>EmpTable!F67</f>
        <v>85387</v>
      </c>
      <c r="I67">
        <f>EmpTable!G67</f>
        <v>7.0000000000000007E-2</v>
      </c>
      <c r="J67">
        <f t="shared" si="5"/>
        <v>5977.09</v>
      </c>
      <c r="K67" t="str">
        <f>IFERROR(INDEX(DepartmentData!$B$2:$B$6,MATCH(E67,DepartmentData!$A$2:$A$6,0)),"")</f>
        <v>Charlie</v>
      </c>
      <c r="L67" t="str">
        <f>IFERROR(INDEX(DepartmentData!$C$2:$C$6,MATCH(E67,DepartmentData!$A$2:$A$6,0)),"")</f>
        <v>Bangalore</v>
      </c>
      <c r="M67" t="str">
        <f>IF(EXACT(EmpTable!B67,"NA"),C67&amp;"@"&amp;D67,EmpTable!B67)</f>
        <v>emp66@company.com</v>
      </c>
    </row>
    <row r="68" spans="1:13" hidden="1" x14ac:dyDescent="0.3">
      <c r="A68">
        <f t="shared" si="4"/>
        <v>67</v>
      </c>
      <c r="B68" t="str">
        <f>EmpTable!A68</f>
        <v>Employee 67</v>
      </c>
      <c r="C68" t="str">
        <f>IF(EXACT(EmpTable!B68,"NA"),"emp"&amp;A68,LEFT(EmpTable!B68,FIND("@",EmpTable!B68)-1))</f>
        <v>emp67</v>
      </c>
      <c r="D68" t="str">
        <f>IF(EXACT(EmpTable!B68,"NA"),"company.com",MID(EmpTable!B68,FIND("@",EmpTable!B68)+1,50))</f>
        <v>company.com</v>
      </c>
      <c r="E68" t="str">
        <f>EmpTable!C68</f>
        <v>NA</v>
      </c>
      <c r="F68" s="1">
        <f>EmpTable!D68</f>
        <v>45333</v>
      </c>
      <c r="G68" s="1">
        <f>EmpTable!E68</f>
        <v>45344</v>
      </c>
      <c r="H68">
        <f>EmpTable!F68</f>
        <v>84638</v>
      </c>
      <c r="I68">
        <f>EmpTable!G68</f>
        <v>0.1</v>
      </c>
      <c r="J68">
        <f t="shared" si="5"/>
        <v>8463.8000000000011</v>
      </c>
      <c r="K68" t="str">
        <f>IFERROR(INDEX(DepartmentData!$B$2:$B$6,MATCH(E68,DepartmentData!$A$2:$A$6,0)),"")</f>
        <v/>
      </c>
      <c r="L68" t="str">
        <f>IFERROR(INDEX(DepartmentData!$C$2:$C$6,MATCH(E68,DepartmentData!$A$2:$A$6,0)),"")</f>
        <v/>
      </c>
      <c r="M68" t="str">
        <f>IF(EXACT(EmpTable!B68,"NA"),C68&amp;"@"&amp;D68,EmpTable!B68)</f>
        <v>emp67@company.com</v>
      </c>
    </row>
    <row r="69" spans="1:13" x14ac:dyDescent="0.3">
      <c r="A69">
        <f t="shared" si="4"/>
        <v>68</v>
      </c>
      <c r="B69" t="str">
        <f>EmpTable!A69</f>
        <v>Employee 68</v>
      </c>
      <c r="C69" t="str">
        <f>IF(EXACT(EmpTable!B69,"NA"),"emp"&amp;A69,LEFT(EmpTable!B69,FIND("@",EmpTable!B69)-1))</f>
        <v>emp68</v>
      </c>
      <c r="D69" t="str">
        <f>IF(EXACT(EmpTable!B69,"NA"),"company.com",MID(EmpTable!B69,FIND("@",EmpTable!B69)+1,50))</f>
        <v>company.com</v>
      </c>
      <c r="E69" t="str">
        <f>EmpTable!C69</f>
        <v>Finance</v>
      </c>
      <c r="F69" s="1">
        <f>EmpTable!D69</f>
        <v>44982</v>
      </c>
      <c r="G69" s="1">
        <f>EmpTable!E69</f>
        <v>45015</v>
      </c>
      <c r="H69">
        <f>EmpTable!F69</f>
        <v>53483</v>
      </c>
      <c r="I69">
        <f>EmpTable!G69</f>
        <v>0.14000000000000001</v>
      </c>
      <c r="J69">
        <f t="shared" si="5"/>
        <v>7487.6200000000008</v>
      </c>
      <c r="K69" t="str">
        <f>IFERROR(INDEX(DepartmentData!$B$2:$B$6,MATCH(E69,DepartmentData!$A$2:$A$6,0)),"")</f>
        <v>Ethan</v>
      </c>
      <c r="L69" t="str">
        <f>IFERROR(INDEX(DepartmentData!$C$2:$C$6,MATCH(E69,DepartmentData!$A$2:$A$6,0)),"")</f>
        <v>Pune</v>
      </c>
      <c r="M69" t="str">
        <f>IF(EXACT(EmpTable!B69,"NA"),C69&amp;"@"&amp;D69,EmpTable!B69)</f>
        <v>emp68@company.com</v>
      </c>
    </row>
    <row r="70" spans="1:13" x14ac:dyDescent="0.3">
      <c r="A70">
        <f t="shared" si="4"/>
        <v>69</v>
      </c>
      <c r="B70" t="str">
        <f>EmpTable!A70</f>
        <v>Employee 69</v>
      </c>
      <c r="C70" t="str">
        <f>IF(EXACT(EmpTable!B70,"NA"),"emp"&amp;A70,LEFT(EmpTable!B70,FIND("@",EmpTable!B70)-1))</f>
        <v>emp69</v>
      </c>
      <c r="D70" t="str">
        <f>IF(EXACT(EmpTable!B70,"NA"),"company.com",MID(EmpTable!B70,FIND("@",EmpTable!B70)+1,50))</f>
        <v>company.com</v>
      </c>
      <c r="E70" t="str">
        <f>EmpTable!C70</f>
        <v>Finance</v>
      </c>
      <c r="F70" s="1">
        <f>EmpTable!D70</f>
        <v>44927</v>
      </c>
      <c r="G70" s="1">
        <f>EmpTable!E70</f>
        <v>44948</v>
      </c>
      <c r="H70">
        <f>EmpTable!F70</f>
        <v>88822</v>
      </c>
      <c r="I70">
        <f>EmpTable!G70</f>
        <v>0.21</v>
      </c>
      <c r="J70">
        <f t="shared" si="5"/>
        <v>18652.62</v>
      </c>
      <c r="K70" t="str">
        <f>IFERROR(INDEX(DepartmentData!$B$2:$B$6,MATCH(E70,DepartmentData!$A$2:$A$6,0)),"")</f>
        <v>Ethan</v>
      </c>
      <c r="L70" t="str">
        <f>IFERROR(INDEX(DepartmentData!$C$2:$C$6,MATCH(E70,DepartmentData!$A$2:$A$6,0)),"")</f>
        <v>Pune</v>
      </c>
      <c r="M70" t="str">
        <f>IF(EXACT(EmpTable!B70,"NA"),C70&amp;"@"&amp;D70,EmpTable!B70)</f>
        <v>emp69@company.com</v>
      </c>
    </row>
    <row r="71" spans="1:13" hidden="1" x14ac:dyDescent="0.3">
      <c r="A71">
        <f t="shared" si="4"/>
        <v>70</v>
      </c>
      <c r="B71" t="str">
        <f>EmpTable!A71</f>
        <v>Employee 70</v>
      </c>
      <c r="C71" t="str">
        <f>IF(EXACT(EmpTable!B71,"NA"),"emp"&amp;A71,LEFT(EmpTable!B71,FIND("@",EmpTable!B71)-1))</f>
        <v>emp70</v>
      </c>
      <c r="D71" t="str">
        <f>IF(EXACT(EmpTable!B71,"NA"),"company.com",MID(EmpTable!B71,FIND("@",EmpTable!B71)+1,50))</f>
        <v>company.com</v>
      </c>
      <c r="E71" t="str">
        <f>EmpTable!C71</f>
        <v>NA</v>
      </c>
      <c r="F71" s="1">
        <f>EmpTable!D71</f>
        <v>44612</v>
      </c>
      <c r="G71" s="1">
        <f>EmpTable!E71</f>
        <v>44665</v>
      </c>
      <c r="H71">
        <f>EmpTable!F71</f>
        <v>78555</v>
      </c>
      <c r="I71">
        <f>EmpTable!G71</f>
        <v>0.22</v>
      </c>
      <c r="J71">
        <f t="shared" si="5"/>
        <v>17282.099999999999</v>
      </c>
      <c r="K71" t="str">
        <f>IFERROR(INDEX(DepartmentData!$B$2:$B$6,MATCH(E71,DepartmentData!$A$2:$A$6,0)),"")</f>
        <v/>
      </c>
      <c r="L71" t="str">
        <f>IFERROR(INDEX(DepartmentData!$C$2:$C$6,MATCH(E71,DepartmentData!$A$2:$A$6,0)),"")</f>
        <v/>
      </c>
      <c r="M71" t="str">
        <f>IF(EXACT(EmpTable!B71,"NA"),C71&amp;"@"&amp;D71,EmpTable!B71)</f>
        <v>emp70@company.com</v>
      </c>
    </row>
    <row r="72" spans="1:13" x14ac:dyDescent="0.3">
      <c r="A72">
        <f t="shared" si="4"/>
        <v>71</v>
      </c>
      <c r="B72" t="str">
        <f>EmpTable!A72</f>
        <v>Employee 71</v>
      </c>
      <c r="C72" t="str">
        <f>IF(EXACT(EmpTable!B72,"NA"),"emp"&amp;A72,LEFT(EmpTable!B72,FIND("@",EmpTable!B72)-1))</f>
        <v>emp71</v>
      </c>
      <c r="D72" t="str">
        <f>IF(EXACT(EmpTable!B72,"NA"),"company.com",MID(EmpTable!B72,FIND("@",EmpTable!B72)+1,50))</f>
        <v>company.com</v>
      </c>
      <c r="E72" t="str">
        <f>EmpTable!C72</f>
        <v>Finance</v>
      </c>
      <c r="F72" s="1">
        <f>EmpTable!D72</f>
        <v>45039</v>
      </c>
      <c r="G72" s="1">
        <f>EmpTable!E72</f>
        <v>45061</v>
      </c>
      <c r="H72">
        <f>EmpTable!F72</f>
        <v>89900</v>
      </c>
      <c r="I72">
        <f>EmpTable!G72</f>
        <v>0.05</v>
      </c>
      <c r="J72">
        <f t="shared" si="5"/>
        <v>4495</v>
      </c>
      <c r="K72" t="str">
        <f>IFERROR(INDEX(DepartmentData!$B$2:$B$6,MATCH(E72,DepartmentData!$A$2:$A$6,0)),"")</f>
        <v>Ethan</v>
      </c>
      <c r="L72" t="str">
        <f>IFERROR(INDEX(DepartmentData!$C$2:$C$6,MATCH(E72,DepartmentData!$A$2:$A$6,0)),"")</f>
        <v>Pune</v>
      </c>
      <c r="M72" t="str">
        <f>IF(EXACT(EmpTable!B72,"NA"),C72&amp;"@"&amp;D72,EmpTable!B72)</f>
        <v>emp71@company.com</v>
      </c>
    </row>
    <row r="73" spans="1:13" hidden="1" x14ac:dyDescent="0.3">
      <c r="A73">
        <f t="shared" si="4"/>
        <v>72</v>
      </c>
      <c r="B73" t="str">
        <f>EmpTable!A73</f>
        <v>Employee 72</v>
      </c>
      <c r="C73" t="str">
        <f>IF(EXACT(EmpTable!B73,"NA"),"emp"&amp;A73,LEFT(EmpTable!B73,FIND("@",EmpTable!B73)-1))</f>
        <v>emp72</v>
      </c>
      <c r="D73" t="str">
        <f>IF(EXACT(EmpTable!B73,"NA"),"company.com",MID(EmpTable!B73,FIND("@",EmpTable!B73)+1,50))</f>
        <v>company.com</v>
      </c>
      <c r="E73" t="str">
        <f>EmpTable!C73</f>
        <v>NA</v>
      </c>
      <c r="F73" s="1">
        <f>EmpTable!D73</f>
        <v>45349</v>
      </c>
      <c r="G73" s="1">
        <f>EmpTable!E73</f>
        <v>45376</v>
      </c>
      <c r="H73">
        <f>EmpTable!F73</f>
        <v>47159</v>
      </c>
      <c r="I73">
        <f>EmpTable!G73</f>
        <v>0.15</v>
      </c>
      <c r="J73">
        <f t="shared" si="5"/>
        <v>7073.8499999999995</v>
      </c>
      <c r="K73" t="str">
        <f>IFERROR(INDEX(DepartmentData!$B$2:$B$6,MATCH(E73,DepartmentData!$A$2:$A$6,0)),"")</f>
        <v/>
      </c>
      <c r="L73" t="str">
        <f>IFERROR(INDEX(DepartmentData!$C$2:$C$6,MATCH(E73,DepartmentData!$A$2:$A$6,0)),"")</f>
        <v/>
      </c>
      <c r="M73" t="str">
        <f>IF(EXACT(EmpTable!B73,"NA"),C73&amp;"@"&amp;D73,EmpTable!B73)</f>
        <v>emp72@company.com</v>
      </c>
    </row>
    <row r="74" spans="1:13" x14ac:dyDescent="0.3">
      <c r="A74">
        <f t="shared" si="4"/>
        <v>73</v>
      </c>
      <c r="B74" t="str">
        <f>EmpTable!A74</f>
        <v>Employee 73</v>
      </c>
      <c r="C74" t="str">
        <f>IF(EXACT(EmpTable!B74,"NA"),"emp"&amp;A74,LEFT(EmpTable!B74,FIND("@",EmpTable!B74)-1))</f>
        <v>emp73</v>
      </c>
      <c r="D74" t="str">
        <f>IF(EXACT(EmpTable!B74,"NA"),"company.com",MID(EmpTable!B74,FIND("@",EmpTable!B74)+1,50))</f>
        <v>company.com</v>
      </c>
      <c r="E74" t="str">
        <f>EmpTable!C74</f>
        <v>IT</v>
      </c>
      <c r="F74" s="1">
        <f>EmpTable!D74</f>
        <v>44939</v>
      </c>
      <c r="G74" s="1">
        <f>EmpTable!E74</f>
        <v>44961</v>
      </c>
      <c r="H74">
        <f>EmpTable!F74</f>
        <v>74974</v>
      </c>
      <c r="I74">
        <f>EmpTable!G74</f>
        <v>0.13</v>
      </c>
      <c r="J74">
        <f t="shared" si="5"/>
        <v>9746.6200000000008</v>
      </c>
      <c r="K74" t="str">
        <f>IFERROR(INDEX(DepartmentData!$B$2:$B$6,MATCH(E74,DepartmentData!$A$2:$A$6,0)),"")</f>
        <v>Diana</v>
      </c>
      <c r="L74" t="str">
        <f>IFERROR(INDEX(DepartmentData!$C$2:$C$6,MATCH(E74,DepartmentData!$A$2:$A$6,0)),"")</f>
        <v>Hyderabad</v>
      </c>
      <c r="M74" t="str">
        <f>IF(EXACT(EmpTable!B74,"NA"),C74&amp;"@"&amp;D74,EmpTable!B74)</f>
        <v>emp73@company.com</v>
      </c>
    </row>
    <row r="75" spans="1:13" x14ac:dyDescent="0.3">
      <c r="A75">
        <f t="shared" si="4"/>
        <v>74</v>
      </c>
      <c r="B75" t="str">
        <f>EmpTable!A75</f>
        <v>Employee 74</v>
      </c>
      <c r="C75" t="str">
        <f>IF(EXACT(EmpTable!B75,"NA"),"emp"&amp;A75,LEFT(EmpTable!B75,FIND("@",EmpTable!B75)-1))</f>
        <v>emp74</v>
      </c>
      <c r="D75" t="str">
        <f>IF(EXACT(EmpTable!B75,"NA"),"company.com",MID(EmpTable!B75,FIND("@",EmpTable!B75)+1,50))</f>
        <v>company.com</v>
      </c>
      <c r="E75" t="str">
        <f>EmpTable!C75</f>
        <v>Marketing</v>
      </c>
      <c r="F75" s="1">
        <f>EmpTable!D75</f>
        <v>44970</v>
      </c>
      <c r="G75" s="1">
        <f>EmpTable!E75</f>
        <v>45010</v>
      </c>
      <c r="H75">
        <f>EmpTable!F75</f>
        <v>70994</v>
      </c>
      <c r="I75">
        <f>EmpTable!G75</f>
        <v>0.09</v>
      </c>
      <c r="J75">
        <f t="shared" si="5"/>
        <v>6389.46</v>
      </c>
      <c r="K75" t="str">
        <f>IFERROR(INDEX(DepartmentData!$B$2:$B$6,MATCH(E75,DepartmentData!$A$2:$A$6,0)),"")</f>
        <v>Charlie</v>
      </c>
      <c r="L75" t="str">
        <f>IFERROR(INDEX(DepartmentData!$C$2:$C$6,MATCH(E75,DepartmentData!$A$2:$A$6,0)),"")</f>
        <v>Bangalore</v>
      </c>
      <c r="M75" t="str">
        <f>IF(EXACT(EmpTable!B75,"NA"),C75&amp;"@"&amp;D75,EmpTable!B75)</f>
        <v>emp74@company.com</v>
      </c>
    </row>
    <row r="76" spans="1:13" x14ac:dyDescent="0.3">
      <c r="A76">
        <f t="shared" si="4"/>
        <v>75</v>
      </c>
      <c r="B76" t="str">
        <f>EmpTable!A76</f>
        <v>Employee 75</v>
      </c>
      <c r="C76" t="str">
        <f>IF(EXACT(EmpTable!B76,"NA"),"emp"&amp;A76,LEFT(EmpTable!B76,FIND("@",EmpTable!B76)-1))</f>
        <v>emp75</v>
      </c>
      <c r="D76" t="str">
        <f>IF(EXACT(EmpTable!B76,"NA"),"company.com",MID(EmpTable!B76,FIND("@",EmpTable!B76)+1,50))</f>
        <v>company.com</v>
      </c>
      <c r="E76" t="str">
        <f>EmpTable!C76</f>
        <v>Finance</v>
      </c>
      <c r="F76" s="1">
        <f>EmpTable!D76</f>
        <v>45284</v>
      </c>
      <c r="G76" s="1">
        <f>EmpTable!E76</f>
        <v>45336</v>
      </c>
      <c r="H76">
        <f>EmpTable!F76</f>
        <v>44541</v>
      </c>
      <c r="I76">
        <f>EmpTable!G76</f>
        <v>7.0000000000000007E-2</v>
      </c>
      <c r="J76">
        <f t="shared" si="5"/>
        <v>3117.8700000000003</v>
      </c>
      <c r="K76" t="str">
        <f>IFERROR(INDEX(DepartmentData!$B$2:$B$6,MATCH(E76,DepartmentData!$A$2:$A$6,0)),"")</f>
        <v>Ethan</v>
      </c>
      <c r="L76" t="str">
        <f>IFERROR(INDEX(DepartmentData!$C$2:$C$6,MATCH(E76,DepartmentData!$A$2:$A$6,0)),"")</f>
        <v>Pune</v>
      </c>
      <c r="M76" t="str">
        <f>IF(EXACT(EmpTable!B76,"NA"),C76&amp;"@"&amp;D76,EmpTable!B76)</f>
        <v>emp75@company.com</v>
      </c>
    </row>
    <row r="77" spans="1:13" x14ac:dyDescent="0.3">
      <c r="A77">
        <f t="shared" si="4"/>
        <v>76</v>
      </c>
      <c r="B77" t="str">
        <f>EmpTable!A77</f>
        <v>Employee 76</v>
      </c>
      <c r="C77" t="str">
        <f>IF(EXACT(EmpTable!B77,"NA"),"emp"&amp;A77,LEFT(EmpTable!B77,FIND("@",EmpTable!B77)-1))</f>
        <v>emp76</v>
      </c>
      <c r="D77" t="str">
        <f>IF(EXACT(EmpTable!B77,"NA"),"company.com",MID(EmpTable!B77,FIND("@",EmpTable!B77)+1,50))</f>
        <v>company.com</v>
      </c>
      <c r="E77" t="str">
        <f>EmpTable!C77</f>
        <v>Finance</v>
      </c>
      <c r="F77" s="1">
        <f>EmpTable!D77</f>
        <v>44992</v>
      </c>
      <c r="G77" s="1">
        <f>EmpTable!E77</f>
        <v>45011</v>
      </c>
      <c r="H77">
        <f>EmpTable!F77</f>
        <v>65920</v>
      </c>
      <c r="I77">
        <f>EmpTable!G77</f>
        <v>0.12</v>
      </c>
      <c r="J77">
        <f t="shared" si="5"/>
        <v>7910.4</v>
      </c>
      <c r="K77" t="str">
        <f>IFERROR(INDEX(DepartmentData!$B$2:$B$6,MATCH(E77,DepartmentData!$A$2:$A$6,0)),"")</f>
        <v>Ethan</v>
      </c>
      <c r="L77" t="str">
        <f>IFERROR(INDEX(DepartmentData!$C$2:$C$6,MATCH(E77,DepartmentData!$A$2:$A$6,0)),"")</f>
        <v>Pune</v>
      </c>
      <c r="M77" t="str">
        <f>IF(EXACT(EmpTable!B77,"NA"),C77&amp;"@"&amp;D77,EmpTable!B77)</f>
        <v>emp76@company.com</v>
      </c>
    </row>
    <row r="78" spans="1:13" x14ac:dyDescent="0.3">
      <c r="A78">
        <f t="shared" si="4"/>
        <v>77</v>
      </c>
      <c r="B78" t="str">
        <f>EmpTable!A78</f>
        <v>Employee 77</v>
      </c>
      <c r="C78" t="str">
        <f>IF(EXACT(EmpTable!B78,"NA"),"emp"&amp;A78,LEFT(EmpTable!B78,FIND("@",EmpTable!B78)-1))</f>
        <v>emp77</v>
      </c>
      <c r="D78" t="str">
        <f>IF(EXACT(EmpTable!B78,"NA"),"company.com",MID(EmpTable!B78,FIND("@",EmpTable!B78)+1,50))</f>
        <v>company.com</v>
      </c>
      <c r="E78" t="str">
        <f>EmpTable!C78</f>
        <v>Marketing</v>
      </c>
      <c r="F78" s="1">
        <f>EmpTable!D78</f>
        <v>45061</v>
      </c>
      <c r="G78" s="1">
        <f>EmpTable!E78</f>
        <v>45095</v>
      </c>
      <c r="H78">
        <f>EmpTable!F78</f>
        <v>56531</v>
      </c>
      <c r="I78">
        <f>EmpTable!G78</f>
        <v>0.24</v>
      </c>
      <c r="J78">
        <f t="shared" si="5"/>
        <v>13567.439999999999</v>
      </c>
      <c r="K78" t="str">
        <f>IFERROR(INDEX(DepartmentData!$B$2:$B$6,MATCH(E78,DepartmentData!$A$2:$A$6,0)),"")</f>
        <v>Charlie</v>
      </c>
      <c r="L78" t="str">
        <f>IFERROR(INDEX(DepartmentData!$C$2:$C$6,MATCH(E78,DepartmentData!$A$2:$A$6,0)),"")</f>
        <v>Bangalore</v>
      </c>
      <c r="M78" t="str">
        <f>IF(EXACT(EmpTable!B78,"NA"),C78&amp;"@"&amp;D78,EmpTable!B78)</f>
        <v>emp77@company.com</v>
      </c>
    </row>
    <row r="79" spans="1:13" x14ac:dyDescent="0.3">
      <c r="A79">
        <f t="shared" si="4"/>
        <v>78</v>
      </c>
      <c r="B79" t="str">
        <f>EmpTable!A79</f>
        <v>Employee 78</v>
      </c>
      <c r="C79" t="str">
        <f>IF(EXACT(EmpTable!B79,"NA"),"emp"&amp;A79,LEFT(EmpTable!B79,FIND("@",EmpTable!B79)-1))</f>
        <v>emp78</v>
      </c>
      <c r="D79" t="str">
        <f>IF(EXACT(EmpTable!B79,"NA"),"company.com",MID(EmpTable!B79,FIND("@",EmpTable!B79)+1,50))</f>
        <v>company.com</v>
      </c>
      <c r="E79" t="str">
        <f>EmpTable!C79</f>
        <v>IT</v>
      </c>
      <c r="F79" s="1">
        <f>EmpTable!D79</f>
        <v>45326</v>
      </c>
      <c r="G79" s="1">
        <f>EmpTable!E79</f>
        <v>45382</v>
      </c>
      <c r="H79">
        <f>EmpTable!F79</f>
        <v>31585</v>
      </c>
      <c r="I79">
        <f>EmpTable!G79</f>
        <v>0.11</v>
      </c>
      <c r="J79">
        <f t="shared" si="5"/>
        <v>3474.35</v>
      </c>
      <c r="K79" t="str">
        <f>IFERROR(INDEX(DepartmentData!$B$2:$B$6,MATCH(E79,DepartmentData!$A$2:$A$6,0)),"")</f>
        <v>Diana</v>
      </c>
      <c r="L79" t="str">
        <f>IFERROR(INDEX(DepartmentData!$C$2:$C$6,MATCH(E79,DepartmentData!$A$2:$A$6,0)),"")</f>
        <v>Hyderabad</v>
      </c>
      <c r="M79" t="str">
        <f>IF(EXACT(EmpTable!B79,"NA"),C79&amp;"@"&amp;D79,EmpTable!B79)</f>
        <v>emp78@company.com</v>
      </c>
    </row>
    <row r="80" spans="1:13" x14ac:dyDescent="0.3">
      <c r="A80">
        <f t="shared" si="4"/>
        <v>79</v>
      </c>
      <c r="B80" t="str">
        <f>EmpTable!A80</f>
        <v>Employee 79</v>
      </c>
      <c r="C80" t="str">
        <f>IF(EXACT(EmpTable!B80,"NA"),"emp"&amp;A80,LEFT(EmpTable!B80,FIND("@",EmpTable!B80)-1))</f>
        <v>emp79</v>
      </c>
      <c r="D80" t="str">
        <f>IF(EXACT(EmpTable!B80,"NA"),"company.com",MID(EmpTable!B80,FIND("@",EmpTable!B80)+1,50))</f>
        <v>company.com</v>
      </c>
      <c r="E80" t="str">
        <f>EmpTable!C80</f>
        <v>Sales</v>
      </c>
      <c r="F80" s="1">
        <f>EmpTable!D80</f>
        <v>45059</v>
      </c>
      <c r="G80" s="1">
        <f>EmpTable!E80</f>
        <v>45113</v>
      </c>
      <c r="H80">
        <f>EmpTable!F80</f>
        <v>33943</v>
      </c>
      <c r="I80">
        <f>EmpTable!G80</f>
        <v>0.15</v>
      </c>
      <c r="J80">
        <f t="shared" si="5"/>
        <v>5091.45</v>
      </c>
      <c r="K80" t="str">
        <f>IFERROR(INDEX(DepartmentData!$B$2:$B$6,MATCH(E80,DepartmentData!$A$2:$A$6,0)),"")</f>
        <v>Bob</v>
      </c>
      <c r="L80" t="str">
        <f>IFERROR(INDEX(DepartmentData!$C$2:$C$6,MATCH(E80,DepartmentData!$A$2:$A$6,0)),"")</f>
        <v>Delhi</v>
      </c>
      <c r="M80" t="str">
        <f>IF(EXACT(EmpTable!B80,"NA"),C80&amp;"@"&amp;D80,EmpTable!B80)</f>
        <v>emp79@company.com</v>
      </c>
    </row>
    <row r="81" spans="1:13" x14ac:dyDescent="0.3">
      <c r="A81">
        <f t="shared" si="4"/>
        <v>80</v>
      </c>
      <c r="B81" t="str">
        <f>EmpTable!A81</f>
        <v>Employee 80</v>
      </c>
      <c r="C81" t="str">
        <f>IF(EXACT(EmpTable!B81,"NA"),"emp"&amp;A81,LEFT(EmpTable!B81,FIND("@",EmpTable!B81)-1))</f>
        <v>emp80</v>
      </c>
      <c r="D81" t="str">
        <f>IF(EXACT(EmpTable!B81,"NA"),"company.com",MID(EmpTable!B81,FIND("@",EmpTable!B81)+1,50))</f>
        <v>company.com</v>
      </c>
      <c r="E81" t="str">
        <f>EmpTable!C81</f>
        <v>IT</v>
      </c>
      <c r="F81" s="1">
        <f>EmpTable!D81</f>
        <v>44569</v>
      </c>
      <c r="G81" s="1">
        <f>EmpTable!E81</f>
        <v>44594</v>
      </c>
      <c r="H81">
        <f>EmpTable!F81</f>
        <v>53939</v>
      </c>
      <c r="I81">
        <f>EmpTable!G81</f>
        <v>0.19</v>
      </c>
      <c r="J81">
        <f t="shared" si="5"/>
        <v>10248.41</v>
      </c>
      <c r="K81" t="str">
        <f>IFERROR(INDEX(DepartmentData!$B$2:$B$6,MATCH(E81,DepartmentData!$A$2:$A$6,0)),"")</f>
        <v>Diana</v>
      </c>
      <c r="L81" t="str">
        <f>IFERROR(INDEX(DepartmentData!$C$2:$C$6,MATCH(E81,DepartmentData!$A$2:$A$6,0)),"")</f>
        <v>Hyderabad</v>
      </c>
      <c r="M81" t="str">
        <f>IF(EXACT(EmpTable!B81,"NA"),C81&amp;"@"&amp;D81,EmpTable!B81)</f>
        <v>emp80@company.com</v>
      </c>
    </row>
    <row r="82" spans="1:13" x14ac:dyDescent="0.3">
      <c r="A82">
        <f t="shared" si="4"/>
        <v>81</v>
      </c>
      <c r="B82" t="str">
        <f>EmpTable!A82</f>
        <v>Employee 81</v>
      </c>
      <c r="C82" t="str">
        <f>IF(EXACT(EmpTable!B82,"NA"),"emp"&amp;A82,LEFT(EmpTable!B82,FIND("@",EmpTable!B82)-1))</f>
        <v>emp81</v>
      </c>
      <c r="D82" t="str">
        <f>IF(EXACT(EmpTable!B82,"NA"),"company.com",MID(EmpTable!B82,FIND("@",EmpTable!B82)+1,50))</f>
        <v>company.com</v>
      </c>
      <c r="E82" t="str">
        <f>EmpTable!C82</f>
        <v>Finance</v>
      </c>
      <c r="F82" s="1">
        <f>EmpTable!D82</f>
        <v>45226</v>
      </c>
      <c r="G82" s="1">
        <f>EmpTable!E82</f>
        <v>45239</v>
      </c>
      <c r="H82">
        <f>EmpTable!F82</f>
        <v>49457</v>
      </c>
      <c r="I82">
        <f>EmpTable!G82</f>
        <v>0.12</v>
      </c>
      <c r="J82">
        <f t="shared" si="5"/>
        <v>5934.84</v>
      </c>
      <c r="K82" t="str">
        <f>IFERROR(INDEX(DepartmentData!$B$2:$B$6,MATCH(E82,DepartmentData!$A$2:$A$6,0)),"")</f>
        <v>Ethan</v>
      </c>
      <c r="L82" t="str">
        <f>IFERROR(INDEX(DepartmentData!$C$2:$C$6,MATCH(E82,DepartmentData!$A$2:$A$6,0)),"")</f>
        <v>Pune</v>
      </c>
      <c r="M82" t="str">
        <f>IF(EXACT(EmpTable!B82,"NA"),C82&amp;"@"&amp;D82,EmpTable!B82)</f>
        <v>emp81@company.com</v>
      </c>
    </row>
    <row r="83" spans="1:13" x14ac:dyDescent="0.3">
      <c r="A83">
        <f t="shared" si="4"/>
        <v>82</v>
      </c>
      <c r="B83" t="str">
        <f>EmpTable!A83</f>
        <v>Employee 82</v>
      </c>
      <c r="C83" t="str">
        <f>IF(EXACT(EmpTable!B83,"NA"),"emp"&amp;A83,LEFT(EmpTable!B83,FIND("@",EmpTable!B83)-1))</f>
        <v>emp82</v>
      </c>
      <c r="D83" t="str">
        <f>IF(EXACT(EmpTable!B83,"NA"),"company.com",MID(EmpTable!B83,FIND("@",EmpTable!B83)+1,50))</f>
        <v>company.com</v>
      </c>
      <c r="E83" t="str">
        <f>EmpTable!C83</f>
        <v>Sales</v>
      </c>
      <c r="F83" s="1">
        <f>EmpTable!D83</f>
        <v>44708</v>
      </c>
      <c r="G83" s="1">
        <f>EmpTable!E83</f>
        <v>44764</v>
      </c>
      <c r="H83">
        <f>EmpTable!F83</f>
        <v>31021</v>
      </c>
      <c r="I83">
        <f>EmpTable!G83</f>
        <v>0.24</v>
      </c>
      <c r="J83">
        <f t="shared" si="5"/>
        <v>7445.04</v>
      </c>
      <c r="K83" t="str">
        <f>IFERROR(INDEX(DepartmentData!$B$2:$B$6,MATCH(E83,DepartmentData!$A$2:$A$6,0)),"")</f>
        <v>Bob</v>
      </c>
      <c r="L83" t="str">
        <f>IFERROR(INDEX(DepartmentData!$C$2:$C$6,MATCH(E83,DepartmentData!$A$2:$A$6,0)),"")</f>
        <v>Delhi</v>
      </c>
      <c r="M83" t="str">
        <f>IF(EXACT(EmpTable!B83,"NA"),C83&amp;"@"&amp;D83,EmpTable!B83)</f>
        <v>emp82@company.com</v>
      </c>
    </row>
    <row r="84" spans="1:13" x14ac:dyDescent="0.3">
      <c r="A84">
        <f t="shared" si="4"/>
        <v>83</v>
      </c>
      <c r="B84" t="str">
        <f>EmpTable!A84</f>
        <v>Employee 83</v>
      </c>
      <c r="C84" t="str">
        <f>IF(EXACT(EmpTable!B84,"NA"),"emp"&amp;A84,LEFT(EmpTable!B84,FIND("@",EmpTable!B84)-1))</f>
        <v>emp83</v>
      </c>
      <c r="D84" t="str">
        <f>IF(EXACT(EmpTable!B84,"NA"),"company.com",MID(EmpTable!B84,FIND("@",EmpTable!B84)+1,50))</f>
        <v>company.com</v>
      </c>
      <c r="E84" t="str">
        <f>EmpTable!C84</f>
        <v>HR</v>
      </c>
      <c r="F84" s="1">
        <f>EmpTable!D84</f>
        <v>44617</v>
      </c>
      <c r="G84" s="1">
        <f>EmpTable!E84</f>
        <v>44636</v>
      </c>
      <c r="H84">
        <f>EmpTable!F84</f>
        <v>41653</v>
      </c>
      <c r="I84">
        <f>EmpTable!G84</f>
        <v>0.24</v>
      </c>
      <c r="J84">
        <f t="shared" si="5"/>
        <v>9996.7199999999993</v>
      </c>
      <c r="K84" t="str">
        <f>IFERROR(INDEX(DepartmentData!$B$2:$B$6,MATCH(E84,DepartmentData!$A$2:$A$6,0)),"")</f>
        <v>Alice</v>
      </c>
      <c r="L84" t="str">
        <f>IFERROR(INDEX(DepartmentData!$C$2:$C$6,MATCH(E84,DepartmentData!$A$2:$A$6,0)),"")</f>
        <v>Mumbai</v>
      </c>
      <c r="M84" t="str">
        <f>IF(EXACT(EmpTable!B84,"NA"),C84&amp;"@"&amp;D84,EmpTable!B84)</f>
        <v>emp83@company.com</v>
      </c>
    </row>
    <row r="85" spans="1:13" x14ac:dyDescent="0.3">
      <c r="A85">
        <f t="shared" si="4"/>
        <v>84</v>
      </c>
      <c r="B85" t="str">
        <f>EmpTable!A85</f>
        <v>Employee 84</v>
      </c>
      <c r="C85" t="str">
        <f>IF(EXACT(EmpTable!B85,"NA"),"emp"&amp;A85,LEFT(EmpTable!B85,FIND("@",EmpTable!B85)-1))</f>
        <v>emp84</v>
      </c>
      <c r="D85" t="str">
        <f>IF(EXACT(EmpTable!B85,"NA"),"company.com",MID(EmpTable!B85,FIND("@",EmpTable!B85)+1,50))</f>
        <v>company.com</v>
      </c>
      <c r="E85" t="str">
        <f>EmpTable!C85</f>
        <v>Sales</v>
      </c>
      <c r="F85" s="1">
        <f>EmpTable!D85</f>
        <v>44921</v>
      </c>
      <c r="G85" s="1">
        <f>EmpTable!E85</f>
        <v>44931</v>
      </c>
      <c r="H85">
        <f>EmpTable!F85</f>
        <v>73573</v>
      </c>
      <c r="I85">
        <f>EmpTable!G85</f>
        <v>0.1</v>
      </c>
      <c r="J85">
        <f t="shared" si="5"/>
        <v>7357.3</v>
      </c>
      <c r="K85" t="str">
        <f>IFERROR(INDEX(DepartmentData!$B$2:$B$6,MATCH(E85,DepartmentData!$A$2:$A$6,0)),"")</f>
        <v>Bob</v>
      </c>
      <c r="L85" t="str">
        <f>IFERROR(INDEX(DepartmentData!$C$2:$C$6,MATCH(E85,DepartmentData!$A$2:$A$6,0)),"")</f>
        <v>Delhi</v>
      </c>
      <c r="M85" t="str">
        <f>IF(EXACT(EmpTable!B85,"NA"),C85&amp;"@"&amp;D85,EmpTable!B85)</f>
        <v>emp84@company.com</v>
      </c>
    </row>
    <row r="86" spans="1:13" hidden="1" x14ac:dyDescent="0.3">
      <c r="A86">
        <f t="shared" si="4"/>
        <v>85</v>
      </c>
      <c r="B86" t="str">
        <f>EmpTable!A86</f>
        <v>Employee 85</v>
      </c>
      <c r="C86" t="str">
        <f>IF(EXACT(EmpTable!B86,"NA"),"emp"&amp;A86,LEFT(EmpTable!B86,FIND("@",EmpTable!B86)-1))</f>
        <v>emp85</v>
      </c>
      <c r="D86" t="str">
        <f>IF(EXACT(EmpTable!B86,"NA"),"company.com",MID(EmpTable!B86,FIND("@",EmpTable!B86)+1,50))</f>
        <v>company.com</v>
      </c>
      <c r="E86" t="str">
        <f>EmpTable!C86</f>
        <v>NA</v>
      </c>
      <c r="F86" s="1">
        <f>EmpTable!D86</f>
        <v>45319</v>
      </c>
      <c r="G86" s="1">
        <f>EmpTable!E86</f>
        <v>45378</v>
      </c>
      <c r="H86">
        <f>EmpTable!F86</f>
        <v>43417</v>
      </c>
      <c r="I86">
        <f>EmpTable!G86</f>
        <v>0.15</v>
      </c>
      <c r="J86">
        <f t="shared" si="5"/>
        <v>6512.55</v>
      </c>
      <c r="K86" t="str">
        <f>IFERROR(INDEX(DepartmentData!$B$2:$B$6,MATCH(E86,DepartmentData!$A$2:$A$6,0)),"")</f>
        <v/>
      </c>
      <c r="L86" t="str">
        <f>IFERROR(INDEX(DepartmentData!$C$2:$C$6,MATCH(E86,DepartmentData!$A$2:$A$6,0)),"")</f>
        <v/>
      </c>
      <c r="M86" t="str">
        <f>IF(EXACT(EmpTable!B86,"NA"),C86&amp;"@"&amp;D86,EmpTable!B86)</f>
        <v>emp85@company.com</v>
      </c>
    </row>
    <row r="87" spans="1:13" x14ac:dyDescent="0.3">
      <c r="A87">
        <f t="shared" si="4"/>
        <v>86</v>
      </c>
      <c r="B87" t="str">
        <f>EmpTable!A87</f>
        <v>Employee 86</v>
      </c>
      <c r="C87" t="str">
        <f>IF(EXACT(EmpTable!B87,"NA"),"emp"&amp;A87,LEFT(EmpTable!B87,FIND("@",EmpTable!B87)-1))</f>
        <v>emp86</v>
      </c>
      <c r="D87" t="str">
        <f>IF(EXACT(EmpTable!B87,"NA"),"company.com",MID(EmpTable!B87,FIND("@",EmpTable!B87)+1,50))</f>
        <v>company.com</v>
      </c>
      <c r="E87" t="str">
        <f>EmpTable!C87</f>
        <v>Finance</v>
      </c>
      <c r="F87" s="1">
        <f>EmpTable!D87</f>
        <v>44929</v>
      </c>
      <c r="G87" s="1">
        <f>EmpTable!E87</f>
        <v>44941</v>
      </c>
      <c r="H87">
        <f>EmpTable!F87</f>
        <v>82995</v>
      </c>
      <c r="I87">
        <f>EmpTable!G87</f>
        <v>0.11</v>
      </c>
      <c r="J87">
        <f t="shared" si="5"/>
        <v>9129.4500000000007</v>
      </c>
      <c r="K87" t="str">
        <f>IFERROR(INDEX(DepartmentData!$B$2:$B$6,MATCH(E87,DepartmentData!$A$2:$A$6,0)),"")</f>
        <v>Ethan</v>
      </c>
      <c r="L87" t="str">
        <f>IFERROR(INDEX(DepartmentData!$C$2:$C$6,MATCH(E87,DepartmentData!$A$2:$A$6,0)),"")</f>
        <v>Pune</v>
      </c>
      <c r="M87" t="str">
        <f>IF(EXACT(EmpTable!B87,"NA"),C87&amp;"@"&amp;D87,EmpTable!B87)</f>
        <v>emp86@company.com</v>
      </c>
    </row>
    <row r="88" spans="1:13" x14ac:dyDescent="0.3">
      <c r="A88">
        <f t="shared" si="4"/>
        <v>87</v>
      </c>
      <c r="B88" t="str">
        <f>EmpTable!A88</f>
        <v>Employee 87</v>
      </c>
      <c r="C88" t="str">
        <f>IF(EXACT(EmpTable!B88,"NA"),"emp"&amp;A88,LEFT(EmpTable!B88,FIND("@",EmpTable!B88)-1))</f>
        <v>emp87</v>
      </c>
      <c r="D88" t="str">
        <f>IF(EXACT(EmpTable!B88,"NA"),"company.com",MID(EmpTable!B88,FIND("@",EmpTable!B88)+1,50))</f>
        <v>company.com</v>
      </c>
      <c r="E88" t="str">
        <f>EmpTable!C88</f>
        <v>Finance</v>
      </c>
      <c r="F88" s="1">
        <f>EmpTable!D88</f>
        <v>45151</v>
      </c>
      <c r="G88" s="1">
        <f>EmpTable!E88</f>
        <v>45166</v>
      </c>
      <c r="H88">
        <f>EmpTable!F88</f>
        <v>70757</v>
      </c>
      <c r="I88">
        <f>EmpTable!G88</f>
        <v>0.11</v>
      </c>
      <c r="J88">
        <f t="shared" si="5"/>
        <v>7783.27</v>
      </c>
      <c r="K88" t="str">
        <f>IFERROR(INDEX(DepartmentData!$B$2:$B$6,MATCH(E88,DepartmentData!$A$2:$A$6,0)),"")</f>
        <v>Ethan</v>
      </c>
      <c r="L88" t="str">
        <f>IFERROR(INDEX(DepartmentData!$C$2:$C$6,MATCH(E88,DepartmentData!$A$2:$A$6,0)),"")</f>
        <v>Pune</v>
      </c>
      <c r="M88" t="str">
        <f>IF(EXACT(EmpTable!B88,"NA"),C88&amp;"@"&amp;D88,EmpTable!B88)</f>
        <v>emp87@company.com</v>
      </c>
    </row>
    <row r="89" spans="1:13" x14ac:dyDescent="0.3">
      <c r="A89">
        <f t="shared" si="4"/>
        <v>88</v>
      </c>
      <c r="B89" t="str">
        <f>EmpTable!A89</f>
        <v>Employee 88</v>
      </c>
      <c r="C89" t="str">
        <f>IF(EXACT(EmpTable!B89,"NA"),"emp"&amp;A89,LEFT(EmpTable!B89,FIND("@",EmpTable!B89)-1))</f>
        <v>emp88</v>
      </c>
      <c r="D89" t="str">
        <f>IF(EXACT(EmpTable!B89,"NA"),"company.com",MID(EmpTable!B89,FIND("@",EmpTable!B89)+1,50))</f>
        <v>company.com</v>
      </c>
      <c r="E89" t="str">
        <f>EmpTable!C89</f>
        <v>Finance</v>
      </c>
      <c r="F89" s="1">
        <f>EmpTable!D89</f>
        <v>45110</v>
      </c>
      <c r="G89" s="1">
        <f>EmpTable!E89</f>
        <v>45165</v>
      </c>
      <c r="H89">
        <f>EmpTable!F89</f>
        <v>39692</v>
      </c>
      <c r="I89">
        <f>EmpTable!G89</f>
        <v>0.06</v>
      </c>
      <c r="J89">
        <f t="shared" si="5"/>
        <v>2381.52</v>
      </c>
      <c r="K89" t="str">
        <f>IFERROR(INDEX(DepartmentData!$B$2:$B$6,MATCH(E89,DepartmentData!$A$2:$A$6,0)),"")</f>
        <v>Ethan</v>
      </c>
      <c r="L89" t="str">
        <f>IFERROR(INDEX(DepartmentData!$C$2:$C$6,MATCH(E89,DepartmentData!$A$2:$A$6,0)),"")</f>
        <v>Pune</v>
      </c>
      <c r="M89" t="str">
        <f>IF(EXACT(EmpTable!B89,"NA"),C89&amp;"@"&amp;D89,EmpTable!B89)</f>
        <v>emp88@company.com</v>
      </c>
    </row>
    <row r="90" spans="1:13" x14ac:dyDescent="0.3">
      <c r="A90">
        <f t="shared" si="4"/>
        <v>89</v>
      </c>
      <c r="B90" t="str">
        <f>EmpTable!A90</f>
        <v>Employee 89</v>
      </c>
      <c r="C90" t="str">
        <f>IF(EXACT(EmpTable!B90,"NA"),"emp"&amp;A90,LEFT(EmpTable!B90,FIND("@",EmpTable!B90)-1))</f>
        <v>emp89</v>
      </c>
      <c r="D90" t="str">
        <f>IF(EXACT(EmpTable!B90,"NA"),"company.com",MID(EmpTable!B90,FIND("@",EmpTable!B90)+1,50))</f>
        <v>company.com</v>
      </c>
      <c r="E90" t="str">
        <f>EmpTable!C90</f>
        <v>Finance</v>
      </c>
      <c r="F90" s="1">
        <f>EmpTable!D90</f>
        <v>45059</v>
      </c>
      <c r="G90" s="1">
        <f>EmpTable!E90</f>
        <v>45089</v>
      </c>
      <c r="H90">
        <f>EmpTable!F90</f>
        <v>75758</v>
      </c>
      <c r="I90">
        <f>EmpTable!G90</f>
        <v>0.17</v>
      </c>
      <c r="J90">
        <f t="shared" si="5"/>
        <v>12878.86</v>
      </c>
      <c r="K90" t="str">
        <f>IFERROR(INDEX(DepartmentData!$B$2:$B$6,MATCH(E90,DepartmentData!$A$2:$A$6,0)),"")</f>
        <v>Ethan</v>
      </c>
      <c r="L90" t="str">
        <f>IFERROR(INDEX(DepartmentData!$C$2:$C$6,MATCH(E90,DepartmentData!$A$2:$A$6,0)),"")</f>
        <v>Pune</v>
      </c>
      <c r="M90" t="str">
        <f>IF(EXACT(EmpTable!B90,"NA"),C90&amp;"@"&amp;D90,EmpTable!B90)</f>
        <v>emp89@company.com</v>
      </c>
    </row>
    <row r="91" spans="1:13" hidden="1" x14ac:dyDescent="0.3">
      <c r="A91">
        <f t="shared" si="4"/>
        <v>90</v>
      </c>
      <c r="B91" t="str">
        <f>EmpTable!A91</f>
        <v>Employee 90</v>
      </c>
      <c r="C91" t="str">
        <f>IF(EXACT(EmpTable!B91,"NA"),"emp"&amp;A91,LEFT(EmpTable!B91,FIND("@",EmpTable!B91)-1))</f>
        <v>emp90</v>
      </c>
      <c r="D91" t="str">
        <f>IF(EXACT(EmpTable!B91,"NA"),"company.com",MID(EmpTable!B91,FIND("@",EmpTable!B91)+1,50))</f>
        <v>company.com</v>
      </c>
      <c r="E91" t="str">
        <f>EmpTable!C91</f>
        <v>NA</v>
      </c>
      <c r="F91" s="1">
        <f>EmpTable!D91</f>
        <v>45086</v>
      </c>
      <c r="G91" s="1">
        <f>EmpTable!E91</f>
        <v>45120</v>
      </c>
      <c r="H91">
        <f>EmpTable!F91</f>
        <v>36873</v>
      </c>
      <c r="I91">
        <f>EmpTable!G91</f>
        <v>0.15</v>
      </c>
      <c r="J91">
        <f t="shared" si="5"/>
        <v>5530.95</v>
      </c>
      <c r="K91" t="str">
        <f>IFERROR(INDEX(DepartmentData!$B$2:$B$6,MATCH(E91,DepartmentData!$A$2:$A$6,0)),"")</f>
        <v/>
      </c>
      <c r="L91" t="str">
        <f>IFERROR(INDEX(DepartmentData!$C$2:$C$6,MATCH(E91,DepartmentData!$A$2:$A$6,0)),"")</f>
        <v/>
      </c>
      <c r="M91" t="str">
        <f>IF(EXACT(EmpTable!B91,"NA"),C91&amp;"@"&amp;D91,EmpTable!B91)</f>
        <v>emp90@company.com</v>
      </c>
    </row>
    <row r="92" spans="1:13" x14ac:dyDescent="0.3">
      <c r="A92">
        <f t="shared" si="4"/>
        <v>91</v>
      </c>
      <c r="B92" t="str">
        <f>EmpTable!A92</f>
        <v>Employee 91</v>
      </c>
      <c r="C92" t="str">
        <f>IF(EXACT(EmpTable!B92,"NA"),"emp"&amp;A92,LEFT(EmpTable!B92,FIND("@",EmpTable!B92)-1))</f>
        <v>emp91</v>
      </c>
      <c r="D92" t="str">
        <f>IF(EXACT(EmpTable!B92,"NA"),"company.com",MID(EmpTable!B92,FIND("@",EmpTable!B92)+1,50))</f>
        <v>company.com</v>
      </c>
      <c r="E92" t="str">
        <f>EmpTable!C92</f>
        <v>HR</v>
      </c>
      <c r="F92" s="1">
        <f>EmpTable!D92</f>
        <v>45298</v>
      </c>
      <c r="G92" s="1">
        <f>EmpTable!E92</f>
        <v>45323</v>
      </c>
      <c r="H92">
        <f>EmpTable!F92</f>
        <v>35675</v>
      </c>
      <c r="I92">
        <f>EmpTable!G92</f>
        <v>0.06</v>
      </c>
      <c r="J92">
        <f t="shared" si="5"/>
        <v>2140.5</v>
      </c>
      <c r="K92" t="str">
        <f>IFERROR(INDEX(DepartmentData!$B$2:$B$6,MATCH(E92,DepartmentData!$A$2:$A$6,0)),"")</f>
        <v>Alice</v>
      </c>
      <c r="L92" t="str">
        <f>IFERROR(INDEX(DepartmentData!$C$2:$C$6,MATCH(E92,DepartmentData!$A$2:$A$6,0)),"")</f>
        <v>Mumbai</v>
      </c>
      <c r="M92" t="str">
        <f>IF(EXACT(EmpTable!B92,"NA"),C92&amp;"@"&amp;D92,EmpTable!B92)</f>
        <v>emp91@company.com</v>
      </c>
    </row>
    <row r="93" spans="1:13" x14ac:dyDescent="0.3">
      <c r="A93">
        <f t="shared" si="4"/>
        <v>92</v>
      </c>
      <c r="B93" t="str">
        <f>EmpTable!A93</f>
        <v>Employee 92</v>
      </c>
      <c r="C93" t="str">
        <f>IF(EXACT(EmpTable!B93,"NA"),"emp"&amp;A93,LEFT(EmpTable!B93,FIND("@",EmpTable!B93)-1))</f>
        <v>emp92</v>
      </c>
      <c r="D93" t="str">
        <f>IF(EXACT(EmpTable!B93,"NA"),"company.com",MID(EmpTable!B93,FIND("@",EmpTable!B93)+1,50))</f>
        <v>company.com</v>
      </c>
      <c r="E93" t="str">
        <f>EmpTable!C93</f>
        <v>IT</v>
      </c>
      <c r="F93" s="1">
        <f>EmpTable!D93</f>
        <v>45127</v>
      </c>
      <c r="G93" s="1">
        <f>EmpTable!E93</f>
        <v>45173</v>
      </c>
      <c r="H93">
        <f>EmpTable!F93</f>
        <v>30161</v>
      </c>
      <c r="I93">
        <f>EmpTable!G93</f>
        <v>0.11</v>
      </c>
      <c r="J93">
        <f t="shared" si="5"/>
        <v>3317.71</v>
      </c>
      <c r="K93" t="str">
        <f>IFERROR(INDEX(DepartmentData!$B$2:$B$6,MATCH(E93,DepartmentData!$A$2:$A$6,0)),"")</f>
        <v>Diana</v>
      </c>
      <c r="L93" t="str">
        <f>IFERROR(INDEX(DepartmentData!$C$2:$C$6,MATCH(E93,DepartmentData!$A$2:$A$6,0)),"")</f>
        <v>Hyderabad</v>
      </c>
      <c r="M93" t="str">
        <f>IF(EXACT(EmpTable!B93,"NA"),C93&amp;"@"&amp;D93,EmpTable!B93)</f>
        <v>emp92@company.com</v>
      </c>
    </row>
    <row r="94" spans="1:13" x14ac:dyDescent="0.3">
      <c r="A94">
        <f t="shared" si="4"/>
        <v>93</v>
      </c>
      <c r="B94" t="str">
        <f>EmpTable!A94</f>
        <v>Employee 93</v>
      </c>
      <c r="C94" t="str">
        <f>IF(EXACT(EmpTable!B94,"NA"),"emp"&amp;A94,LEFT(EmpTable!B94,FIND("@",EmpTable!B94)-1))</f>
        <v>emp93</v>
      </c>
      <c r="D94" t="str">
        <f>IF(EXACT(EmpTable!B94,"NA"),"company.com",MID(EmpTable!B94,FIND("@",EmpTable!B94)+1,50))</f>
        <v>company.com</v>
      </c>
      <c r="E94" t="str">
        <f>EmpTable!C94</f>
        <v>Finance</v>
      </c>
      <c r="F94" s="1">
        <f>EmpTable!D94</f>
        <v>45150</v>
      </c>
      <c r="G94" s="1">
        <f>EmpTable!E94</f>
        <v>45194</v>
      </c>
      <c r="H94">
        <f>EmpTable!F94</f>
        <v>67065</v>
      </c>
      <c r="I94">
        <f>EmpTable!G94</f>
        <v>0.23</v>
      </c>
      <c r="J94">
        <f t="shared" si="5"/>
        <v>15424.95</v>
      </c>
      <c r="K94" t="str">
        <f>IFERROR(INDEX(DepartmentData!$B$2:$B$6,MATCH(E94,DepartmentData!$A$2:$A$6,0)),"")</f>
        <v>Ethan</v>
      </c>
      <c r="L94" t="str">
        <f>IFERROR(INDEX(DepartmentData!$C$2:$C$6,MATCH(E94,DepartmentData!$A$2:$A$6,0)),"")</f>
        <v>Pune</v>
      </c>
      <c r="M94" t="str">
        <f>IF(EXACT(EmpTable!B94,"NA"),C94&amp;"@"&amp;D94,EmpTable!B94)</f>
        <v>emp93@company.com</v>
      </c>
    </row>
    <row r="95" spans="1:13" x14ac:dyDescent="0.3">
      <c r="A95">
        <f t="shared" si="4"/>
        <v>94</v>
      </c>
      <c r="B95" t="str">
        <f>EmpTable!A95</f>
        <v>Employee 94</v>
      </c>
      <c r="C95" t="str">
        <f>IF(EXACT(EmpTable!B95,"NA"),"emp"&amp;A95,LEFT(EmpTable!B95,FIND("@",EmpTable!B95)-1))</f>
        <v>emp94</v>
      </c>
      <c r="D95" t="str">
        <f>IF(EXACT(EmpTable!B95,"NA"),"company.com",MID(EmpTable!B95,FIND("@",EmpTable!B95)+1,50))</f>
        <v>company.com</v>
      </c>
      <c r="E95" t="str">
        <f>EmpTable!C95</f>
        <v>Marketing</v>
      </c>
      <c r="F95" s="1">
        <f>EmpTable!D95</f>
        <v>44615</v>
      </c>
      <c r="G95" s="1">
        <f>EmpTable!E95</f>
        <v>44663</v>
      </c>
      <c r="H95">
        <f>EmpTable!F95</f>
        <v>56557</v>
      </c>
      <c r="I95">
        <f>EmpTable!G95</f>
        <v>0.1</v>
      </c>
      <c r="J95">
        <f t="shared" si="5"/>
        <v>5655.7000000000007</v>
      </c>
      <c r="K95" t="str">
        <f>IFERROR(INDEX(DepartmentData!$B$2:$B$6,MATCH(E95,DepartmentData!$A$2:$A$6,0)),"")</f>
        <v>Charlie</v>
      </c>
      <c r="L95" t="str">
        <f>IFERROR(INDEX(DepartmentData!$C$2:$C$6,MATCH(E95,DepartmentData!$A$2:$A$6,0)),"")</f>
        <v>Bangalore</v>
      </c>
      <c r="M95" t="str">
        <f>IF(EXACT(EmpTable!B95,"NA"),C95&amp;"@"&amp;D95,EmpTable!B95)</f>
        <v>emp94@company.com</v>
      </c>
    </row>
    <row r="96" spans="1:13" x14ac:dyDescent="0.3">
      <c r="A96">
        <f t="shared" si="4"/>
        <v>95</v>
      </c>
      <c r="B96" t="str">
        <f>EmpTable!A96</f>
        <v>Employee 95</v>
      </c>
      <c r="C96" t="str">
        <f>IF(EXACT(EmpTable!B96,"NA"),"emp"&amp;A96,LEFT(EmpTable!B96,FIND("@",EmpTable!B96)-1))</f>
        <v>emp95</v>
      </c>
      <c r="D96" t="str">
        <f>IF(EXACT(EmpTable!B96,"NA"),"company.com",MID(EmpTable!B96,FIND("@",EmpTable!B96)+1,50))</f>
        <v>company.com</v>
      </c>
      <c r="E96" t="str">
        <f>EmpTable!C96</f>
        <v>Finance</v>
      </c>
      <c r="F96" s="1">
        <f>EmpTable!D96</f>
        <v>45348</v>
      </c>
      <c r="G96" s="1">
        <f>EmpTable!E96</f>
        <v>45394</v>
      </c>
      <c r="H96">
        <f>EmpTable!F96</f>
        <v>63763</v>
      </c>
      <c r="I96">
        <f>EmpTable!G96</f>
        <v>0.08</v>
      </c>
      <c r="J96">
        <f t="shared" si="5"/>
        <v>5101.04</v>
      </c>
      <c r="K96" t="str">
        <f>IFERROR(INDEX(DepartmentData!$B$2:$B$6,MATCH(E96,DepartmentData!$A$2:$A$6,0)),"")</f>
        <v>Ethan</v>
      </c>
      <c r="L96" t="str">
        <f>IFERROR(INDEX(DepartmentData!$C$2:$C$6,MATCH(E96,DepartmentData!$A$2:$A$6,0)),"")</f>
        <v>Pune</v>
      </c>
      <c r="M96" t="str">
        <f>IF(EXACT(EmpTable!B96,"NA"),C96&amp;"@"&amp;D96,EmpTable!B96)</f>
        <v>emp95@company.com</v>
      </c>
    </row>
    <row r="97" spans="1:13" x14ac:dyDescent="0.3">
      <c r="A97">
        <f t="shared" si="4"/>
        <v>96</v>
      </c>
      <c r="B97" t="str">
        <f>EmpTable!A97</f>
        <v>Employee 96</v>
      </c>
      <c r="C97" t="str">
        <f>IF(EXACT(EmpTable!B97,"NA"),"emp"&amp;A97,LEFT(EmpTable!B97,FIND("@",EmpTable!B97)-1))</f>
        <v>emp96</v>
      </c>
      <c r="D97" t="str">
        <f>IF(EXACT(EmpTable!B97,"NA"),"company.com",MID(EmpTable!B97,FIND("@",EmpTable!B97)+1,50))</f>
        <v>company.com</v>
      </c>
      <c r="E97" t="str">
        <f>EmpTable!C97</f>
        <v>Finance</v>
      </c>
      <c r="F97" s="1">
        <f>EmpTable!D97</f>
        <v>44871</v>
      </c>
      <c r="G97" s="1">
        <f>EmpTable!E97</f>
        <v>44895</v>
      </c>
      <c r="H97">
        <f>EmpTable!F97</f>
        <v>62606</v>
      </c>
      <c r="I97">
        <f>EmpTable!G97</f>
        <v>0.15</v>
      </c>
      <c r="J97">
        <f t="shared" si="5"/>
        <v>9390.9</v>
      </c>
      <c r="K97" t="str">
        <f>IFERROR(INDEX(DepartmentData!$B$2:$B$6,MATCH(E97,DepartmentData!$A$2:$A$6,0)),"")</f>
        <v>Ethan</v>
      </c>
      <c r="L97" t="str">
        <f>IFERROR(INDEX(DepartmentData!$C$2:$C$6,MATCH(E97,DepartmentData!$A$2:$A$6,0)),"")</f>
        <v>Pune</v>
      </c>
      <c r="M97" t="str">
        <f>IF(EXACT(EmpTable!B97,"NA"),C97&amp;"@"&amp;D97,EmpTable!B97)</f>
        <v>emp96@company.com</v>
      </c>
    </row>
    <row r="98" spans="1:13" hidden="1" x14ac:dyDescent="0.3">
      <c r="A98">
        <f t="shared" ref="A98:A111" si="6">ROW()-1</f>
        <v>97</v>
      </c>
      <c r="B98" t="str">
        <f>EmpTable!A98</f>
        <v>Employee 97</v>
      </c>
      <c r="C98" t="str">
        <f>IF(EXACT(EmpTable!B98,"NA"),"emp"&amp;A98,LEFT(EmpTable!B98,FIND("@",EmpTable!B98)-1))</f>
        <v>emp97</v>
      </c>
      <c r="D98" t="str">
        <f>IF(EXACT(EmpTable!B98,"NA"),"company.com",MID(EmpTable!B98,FIND("@",EmpTable!B98)+1,50))</f>
        <v>company.com</v>
      </c>
      <c r="E98" t="str">
        <f>EmpTable!C98</f>
        <v>NA</v>
      </c>
      <c r="F98" s="1">
        <f>EmpTable!D98</f>
        <v>44648</v>
      </c>
      <c r="G98" s="1">
        <f>EmpTable!E98</f>
        <v>44659</v>
      </c>
      <c r="H98">
        <f>EmpTable!F98</f>
        <v>41534</v>
      </c>
      <c r="I98">
        <f>EmpTable!G98</f>
        <v>0.25</v>
      </c>
      <c r="J98">
        <f t="shared" ref="J98:J111" si="7">H98*I98</f>
        <v>10383.5</v>
      </c>
      <c r="K98" t="str">
        <f>IFERROR(INDEX(DepartmentData!$B$2:$B$6,MATCH(E98,DepartmentData!$A$2:$A$6,0)),"")</f>
        <v/>
      </c>
      <c r="L98" t="str">
        <f>IFERROR(INDEX(DepartmentData!$C$2:$C$6,MATCH(E98,DepartmentData!$A$2:$A$6,0)),"")</f>
        <v/>
      </c>
      <c r="M98" t="str">
        <f>IF(EXACT(EmpTable!B98,"NA"),C98&amp;"@"&amp;D98,EmpTable!B98)</f>
        <v>emp97@company.com</v>
      </c>
    </row>
    <row r="99" spans="1:13" hidden="1" x14ac:dyDescent="0.3">
      <c r="A99">
        <f t="shared" si="6"/>
        <v>98</v>
      </c>
      <c r="B99" t="str">
        <f>EmpTable!A99</f>
        <v>Employee 98</v>
      </c>
      <c r="C99" t="str">
        <f>IF(EXACT(EmpTable!B99,"NA"),"emp"&amp;A99,LEFT(EmpTable!B99,FIND("@",EmpTable!B99)-1))</f>
        <v>emp98</v>
      </c>
      <c r="D99" t="str">
        <f>IF(EXACT(EmpTable!B99,"NA"),"company.com",MID(EmpTable!B99,FIND("@",EmpTable!B99)+1,50))</f>
        <v>company.com</v>
      </c>
      <c r="E99" t="str">
        <f>EmpTable!C99</f>
        <v>NA</v>
      </c>
      <c r="F99" s="1">
        <f>EmpTable!D99</f>
        <v>45097</v>
      </c>
      <c r="G99" s="1">
        <f>EmpTable!E99</f>
        <v>45137</v>
      </c>
      <c r="H99">
        <f>EmpTable!F99</f>
        <v>59127</v>
      </c>
      <c r="I99">
        <f>EmpTable!G99</f>
        <v>0.1</v>
      </c>
      <c r="J99">
        <f t="shared" si="7"/>
        <v>5912.7000000000007</v>
      </c>
      <c r="K99" t="str">
        <f>IFERROR(INDEX(DepartmentData!$B$2:$B$6,MATCH(E99,DepartmentData!$A$2:$A$6,0)),"")</f>
        <v/>
      </c>
      <c r="L99" t="str">
        <f>IFERROR(INDEX(DepartmentData!$C$2:$C$6,MATCH(E99,DepartmentData!$A$2:$A$6,0)),"")</f>
        <v/>
      </c>
      <c r="M99" t="str">
        <f>IF(EXACT(EmpTable!B99,"NA"),C99&amp;"@"&amp;D99,EmpTable!B99)</f>
        <v>emp98@company.com</v>
      </c>
    </row>
    <row r="100" spans="1:13" x14ac:dyDescent="0.3">
      <c r="A100">
        <f t="shared" si="6"/>
        <v>99</v>
      </c>
      <c r="B100" t="str">
        <f>EmpTable!A100</f>
        <v>Employee 99</v>
      </c>
      <c r="C100" t="str">
        <f>IF(EXACT(EmpTable!B100,"NA"),"emp"&amp;A100,LEFT(EmpTable!B100,FIND("@",EmpTable!B100)-1))</f>
        <v>emp99</v>
      </c>
      <c r="D100" t="str">
        <f>IF(EXACT(EmpTable!B100,"NA"),"company.com",MID(EmpTable!B100,FIND("@",EmpTable!B100)+1,50))</f>
        <v>company.com</v>
      </c>
      <c r="E100" t="str">
        <f>EmpTable!C100</f>
        <v>Sales</v>
      </c>
      <c r="F100" s="1">
        <f>EmpTable!D100</f>
        <v>45290</v>
      </c>
      <c r="G100" s="1">
        <f>EmpTable!E100</f>
        <v>45311</v>
      </c>
      <c r="H100">
        <f>EmpTable!F100</f>
        <v>70397</v>
      </c>
      <c r="I100">
        <f>EmpTable!G100</f>
        <v>0.18</v>
      </c>
      <c r="J100">
        <f t="shared" si="7"/>
        <v>12671.46</v>
      </c>
      <c r="K100" t="str">
        <f>IFERROR(INDEX(DepartmentData!$B$2:$B$6,MATCH(E100,DepartmentData!$A$2:$A$6,0)),"")</f>
        <v>Bob</v>
      </c>
      <c r="L100" t="str">
        <f>IFERROR(INDEX(DepartmentData!$C$2:$C$6,MATCH(E100,DepartmentData!$A$2:$A$6,0)),"")</f>
        <v>Delhi</v>
      </c>
      <c r="M100" t="str">
        <f>IF(EXACT(EmpTable!B100,"NA"),C100&amp;"@"&amp;D100,EmpTable!B100)</f>
        <v>emp99@company.com</v>
      </c>
    </row>
    <row r="101" spans="1:13" x14ac:dyDescent="0.3">
      <c r="A101">
        <f t="shared" si="6"/>
        <v>100</v>
      </c>
      <c r="B101" t="str">
        <f>EmpTable!A101</f>
        <v>Employee 100</v>
      </c>
      <c r="C101" t="str">
        <f>IF(EXACT(EmpTable!B101,"NA"),"emp"&amp;A101,LEFT(EmpTable!B101,FIND("@",EmpTable!B101)-1))</f>
        <v>emp100</v>
      </c>
      <c r="D101" t="str">
        <f>IF(EXACT(EmpTable!B101,"NA"),"company.com",MID(EmpTable!B101,FIND("@",EmpTable!B101)+1,50))</f>
        <v>company.com</v>
      </c>
      <c r="E101" t="str">
        <f>EmpTable!C101</f>
        <v>Finance</v>
      </c>
      <c r="F101" s="1">
        <f>EmpTable!D101</f>
        <v>45119</v>
      </c>
      <c r="G101" s="1">
        <f>EmpTable!E101</f>
        <v>45140</v>
      </c>
      <c r="H101">
        <f>EmpTable!F101</f>
        <v>55851</v>
      </c>
      <c r="I101">
        <f>EmpTable!G101</f>
        <v>0.2</v>
      </c>
      <c r="J101">
        <f t="shared" si="7"/>
        <v>11170.2</v>
      </c>
      <c r="K101" t="str">
        <f>IFERROR(INDEX(DepartmentData!$B$2:$B$6,MATCH(E101,DepartmentData!$A$2:$A$6,0)),"")</f>
        <v>Ethan</v>
      </c>
      <c r="L101" t="str">
        <f>IFERROR(INDEX(DepartmentData!$C$2:$C$6,MATCH(E101,DepartmentData!$A$2:$A$6,0)),"")</f>
        <v>Pune</v>
      </c>
      <c r="M101" t="str">
        <f>IF(EXACT(EmpTable!B101,"NA"),C101&amp;"@"&amp;D101,EmpTable!B101)</f>
        <v>emp100@company.com</v>
      </c>
    </row>
    <row r="102" spans="1:13" x14ac:dyDescent="0.3">
      <c r="A102">
        <f t="shared" si="6"/>
        <v>101</v>
      </c>
      <c r="B102" t="str">
        <f>MoreEmployees!A2</f>
        <v>New Employee 101</v>
      </c>
      <c r="C102" t="str">
        <f>IF(EXACT(MoreEmployees!B2,"NA"),"emp"&amp;A102,LEFT(MoreEmployees!B2,FIND("@",MoreEmployees!B2)-1))</f>
        <v>newemp101</v>
      </c>
      <c r="D102" t="str">
        <f>IF(EXACT(MoreEmployees!B2,"NA"),"company.com",MID(MoreEmployees!B2,FIND("@",MoreEmployees!B2)+1,50))</f>
        <v>company.com</v>
      </c>
      <c r="E102" t="str">
        <f>MoreEmployees!C2</f>
        <v>Marketing</v>
      </c>
      <c r="F102" s="1">
        <f>MoreEmployees!D2</f>
        <v>45329</v>
      </c>
      <c r="G102" s="1">
        <f>MoreEmployees!E2</f>
        <v>45483</v>
      </c>
      <c r="H102">
        <f>MoreEmployees!F2</f>
        <v>44688</v>
      </c>
      <c r="I102">
        <f>MoreEmployees!G2</f>
        <v>0.21</v>
      </c>
      <c r="J102">
        <f t="shared" si="7"/>
        <v>9384.48</v>
      </c>
      <c r="K102" t="str">
        <f>IFERROR(INDEX(DepartmentData!$B$2:$B$6,MATCH(E102,DepartmentData!$A$2:$A$6,0)),"")</f>
        <v>Charlie</v>
      </c>
      <c r="L102" t="str">
        <f>IFERROR(INDEX(DepartmentData!$C$2:$C$6,MATCH(E102,DepartmentData!$A$2:$A$6,0)),"")</f>
        <v>Bangalore</v>
      </c>
      <c r="M102" t="str">
        <f>IF(EXACT(MoreEmployees!B2,"NA"),C102&amp;"@"&amp;D102,MoreEmployees!B2)</f>
        <v>newemp101@company.com</v>
      </c>
    </row>
    <row r="103" spans="1:13" x14ac:dyDescent="0.3">
      <c r="A103">
        <f t="shared" si="6"/>
        <v>102</v>
      </c>
      <c r="B103" t="str">
        <f>MoreEmployees!A3</f>
        <v>New Employee 102</v>
      </c>
      <c r="C103" t="str">
        <f>IF(EXACT(MoreEmployees!B3,"NA"),"emp"&amp;A103,LEFT(MoreEmployees!B3,FIND("@",MoreEmployees!B3)-1))</f>
        <v>newemp102</v>
      </c>
      <c r="D103" t="str">
        <f>IF(EXACT(MoreEmployees!B3,"NA"),"company.com",MID(MoreEmployees!B3,FIND("@",MoreEmployees!B3)+1,50))</f>
        <v>company.com</v>
      </c>
      <c r="E103" t="str">
        <f>MoreEmployees!C3</f>
        <v>Finance</v>
      </c>
      <c r="F103" s="1">
        <f>MoreEmployees!D3</f>
        <v>45453</v>
      </c>
      <c r="G103" s="1">
        <f>MoreEmployees!E3</f>
        <v>45475</v>
      </c>
      <c r="H103">
        <f>MoreEmployees!F3</f>
        <v>57342</v>
      </c>
      <c r="I103">
        <f>MoreEmployees!G3</f>
        <v>0.08</v>
      </c>
      <c r="J103">
        <f t="shared" si="7"/>
        <v>4587.3599999999997</v>
      </c>
      <c r="K103" t="str">
        <f>IFERROR(INDEX(DepartmentData!$B$2:$B$6,MATCH(E103,DepartmentData!$A$2:$A$6,0)),"")</f>
        <v>Ethan</v>
      </c>
      <c r="L103" t="str">
        <f>IFERROR(INDEX(DepartmentData!$C$2:$C$6,MATCH(E103,DepartmentData!$A$2:$A$6,0)),"")</f>
        <v>Pune</v>
      </c>
      <c r="M103" t="str">
        <f>IF(EXACT(MoreEmployees!B3,"NA"),C103&amp;"@"&amp;D103,MoreEmployees!B3)</f>
        <v>newemp102@company.com</v>
      </c>
    </row>
    <row r="104" spans="1:13" x14ac:dyDescent="0.3">
      <c r="A104">
        <f t="shared" si="6"/>
        <v>103</v>
      </c>
      <c r="B104" t="str">
        <f>MoreEmployees!A4</f>
        <v>New Employee 103</v>
      </c>
      <c r="C104" t="str">
        <f>IF(EXACT(MoreEmployees!B4,"NA"),"emp"&amp;A104,LEFT(MoreEmployees!B4,FIND("@",MoreEmployees!B4)-1))</f>
        <v>newemp103</v>
      </c>
      <c r="D104" t="str">
        <f>IF(EXACT(MoreEmployees!B4,"NA"),"company.com",MID(MoreEmployees!B4,FIND("@",MoreEmployees!B4)+1,50))</f>
        <v>company.com</v>
      </c>
      <c r="E104" t="str">
        <f>MoreEmployees!C4</f>
        <v>Finance</v>
      </c>
      <c r="F104" s="1">
        <f>MoreEmployees!D4</f>
        <v>45299</v>
      </c>
      <c r="G104" s="1">
        <f>MoreEmployees!E4</f>
        <v>45486</v>
      </c>
      <c r="H104">
        <f>MoreEmployees!F4</f>
        <v>69157</v>
      </c>
      <c r="I104">
        <f>MoreEmployees!G4</f>
        <v>0.15</v>
      </c>
      <c r="J104">
        <f t="shared" si="7"/>
        <v>10373.549999999999</v>
      </c>
      <c r="K104" t="str">
        <f>IFERROR(INDEX(DepartmentData!$B$2:$B$6,MATCH(E104,DepartmentData!$A$2:$A$6,0)),"")</f>
        <v>Ethan</v>
      </c>
      <c r="L104" t="str">
        <f>IFERROR(INDEX(DepartmentData!$C$2:$C$6,MATCH(E104,DepartmentData!$A$2:$A$6,0)),"")</f>
        <v>Pune</v>
      </c>
      <c r="M104" t="str">
        <f>IF(EXACT(MoreEmployees!B4,"NA"),C104&amp;"@"&amp;D104,MoreEmployees!B4)</f>
        <v>newemp103@company.com</v>
      </c>
    </row>
    <row r="105" spans="1:13" x14ac:dyDescent="0.3">
      <c r="A105">
        <f t="shared" si="6"/>
        <v>104</v>
      </c>
      <c r="B105" t="str">
        <f>MoreEmployees!A5</f>
        <v>New Employee 104</v>
      </c>
      <c r="C105" t="str">
        <f>IF(EXACT(MoreEmployees!B5,"NA"),"emp"&amp;A105,LEFT(MoreEmployees!B5,FIND("@",MoreEmployees!B5)-1))</f>
        <v>newemp104</v>
      </c>
      <c r="D105" t="str">
        <f>IF(EXACT(MoreEmployees!B5,"NA"),"company.com",MID(MoreEmployees!B5,FIND("@",MoreEmployees!B5)+1,50))</f>
        <v>company.com</v>
      </c>
      <c r="E105" t="str">
        <f>MoreEmployees!C5</f>
        <v>Sales</v>
      </c>
      <c r="F105" s="1">
        <f>MoreEmployees!D5</f>
        <v>45303</v>
      </c>
      <c r="G105" s="1">
        <f>MoreEmployees!E5</f>
        <v>45498</v>
      </c>
      <c r="H105">
        <f>MoreEmployees!F5</f>
        <v>34327</v>
      </c>
      <c r="I105">
        <f>MoreEmployees!G5</f>
        <v>0.19</v>
      </c>
      <c r="J105">
        <f t="shared" si="7"/>
        <v>6522.13</v>
      </c>
      <c r="K105" t="str">
        <f>IFERROR(INDEX(DepartmentData!$B$2:$B$6,MATCH(E105,DepartmentData!$A$2:$A$6,0)),"")</f>
        <v>Bob</v>
      </c>
      <c r="L105" t="str">
        <f>IFERROR(INDEX(DepartmentData!$C$2:$C$6,MATCH(E105,DepartmentData!$A$2:$A$6,0)),"")</f>
        <v>Delhi</v>
      </c>
      <c r="M105" t="str">
        <f>IF(EXACT(MoreEmployees!B5,"NA"),C105&amp;"@"&amp;D105,MoreEmployees!B5)</f>
        <v>newemp104@company.com</v>
      </c>
    </row>
    <row r="106" spans="1:13" x14ac:dyDescent="0.3">
      <c r="A106">
        <f t="shared" si="6"/>
        <v>105</v>
      </c>
      <c r="B106" t="str">
        <f>MoreEmployees!A6</f>
        <v>New Employee 105</v>
      </c>
      <c r="C106" t="str">
        <f>IF(EXACT(MoreEmployees!B6,"NA"),"emp"&amp;A106,LEFT(MoreEmployees!B6,FIND("@",MoreEmployees!B6)-1))</f>
        <v>newemp105</v>
      </c>
      <c r="D106" t="str">
        <f>IF(EXACT(MoreEmployees!B6,"NA"),"company.com",MID(MoreEmployees!B6,FIND("@",MoreEmployees!B6)+1,50))</f>
        <v>company.com</v>
      </c>
      <c r="E106" t="str">
        <f>MoreEmployees!C6</f>
        <v>Marketing</v>
      </c>
      <c r="F106" s="1">
        <f>MoreEmployees!D6</f>
        <v>45384</v>
      </c>
      <c r="G106" s="1">
        <f>MoreEmployees!E6</f>
        <v>45479</v>
      </c>
      <c r="H106">
        <f>MoreEmployees!F6</f>
        <v>72772</v>
      </c>
      <c r="I106">
        <f>MoreEmployees!G6</f>
        <v>0.22</v>
      </c>
      <c r="J106">
        <f t="shared" si="7"/>
        <v>16009.84</v>
      </c>
      <c r="K106" t="str">
        <f>IFERROR(INDEX(DepartmentData!$B$2:$B$6,MATCH(E106,DepartmentData!$A$2:$A$6,0)),"")</f>
        <v>Charlie</v>
      </c>
      <c r="L106" t="str">
        <f>IFERROR(INDEX(DepartmentData!$C$2:$C$6,MATCH(E106,DepartmentData!$A$2:$A$6,0)),"")</f>
        <v>Bangalore</v>
      </c>
      <c r="M106" t="str">
        <f>IF(EXACT(MoreEmployees!B6,"NA"),C106&amp;"@"&amp;D106,MoreEmployees!B6)</f>
        <v>newemp105@company.com</v>
      </c>
    </row>
    <row r="107" spans="1:13" x14ac:dyDescent="0.3">
      <c r="A107">
        <f t="shared" si="6"/>
        <v>106</v>
      </c>
      <c r="B107" t="str">
        <f>MoreEmployees!A7</f>
        <v>New Employee 106</v>
      </c>
      <c r="C107" t="str">
        <f>IF(EXACT(MoreEmployees!B7,"NA"),"emp"&amp;A107,LEFT(MoreEmployees!B7,FIND("@",MoreEmployees!B7)-1))</f>
        <v>newemp106</v>
      </c>
      <c r="D107" t="str">
        <f>IF(EXACT(MoreEmployees!B7,"NA"),"company.com",MID(MoreEmployees!B7,FIND("@",MoreEmployees!B7)+1,50))</f>
        <v>company.com</v>
      </c>
      <c r="E107" t="str">
        <f>MoreEmployees!C7</f>
        <v>Sales</v>
      </c>
      <c r="F107" s="1">
        <f>MoreEmployees!D7</f>
        <v>45410</v>
      </c>
      <c r="G107" s="1">
        <f>MoreEmployees!E7</f>
        <v>45497</v>
      </c>
      <c r="H107">
        <f>MoreEmployees!F7</f>
        <v>72545</v>
      </c>
      <c r="I107">
        <f>MoreEmployees!G7</f>
        <v>0.12</v>
      </c>
      <c r="J107">
        <f t="shared" si="7"/>
        <v>8705.4</v>
      </c>
      <c r="K107" t="str">
        <f>IFERROR(INDEX(DepartmentData!$B$2:$B$6,MATCH(E107,DepartmentData!$A$2:$A$6,0)),"")</f>
        <v>Bob</v>
      </c>
      <c r="L107" t="str">
        <f>IFERROR(INDEX(DepartmentData!$C$2:$C$6,MATCH(E107,DepartmentData!$A$2:$A$6,0)),"")</f>
        <v>Delhi</v>
      </c>
      <c r="M107" t="str">
        <f>IF(EXACT(MoreEmployees!B7,"NA"),C107&amp;"@"&amp;D107,MoreEmployees!B7)</f>
        <v>newemp106@company.com</v>
      </c>
    </row>
    <row r="108" spans="1:13" x14ac:dyDescent="0.3">
      <c r="A108">
        <f t="shared" si="6"/>
        <v>107</v>
      </c>
      <c r="B108" t="str">
        <f>MoreEmployees!A8</f>
        <v>New Employee 107</v>
      </c>
      <c r="C108" t="str">
        <f>IF(EXACT(MoreEmployees!B8,"NA"),"emp"&amp;A108,LEFT(MoreEmployees!B8,FIND("@",MoreEmployees!B8)-1))</f>
        <v>newemp107</v>
      </c>
      <c r="D108" t="str">
        <f>IF(EXACT(MoreEmployees!B8,"NA"),"company.com",MID(MoreEmployees!B8,FIND("@",MoreEmployees!B8)+1,50))</f>
        <v>company.com</v>
      </c>
      <c r="E108" t="str">
        <f>MoreEmployees!C8</f>
        <v>Finance</v>
      </c>
      <c r="F108" s="1">
        <f>MoreEmployees!D8</f>
        <v>45445</v>
      </c>
      <c r="G108" s="1">
        <f>MoreEmployees!E8</f>
        <v>45495</v>
      </c>
      <c r="H108">
        <f>MoreEmployees!F8</f>
        <v>32197</v>
      </c>
      <c r="I108">
        <f>MoreEmployees!G8</f>
        <v>0.09</v>
      </c>
      <c r="J108">
        <f t="shared" si="7"/>
        <v>2897.73</v>
      </c>
      <c r="K108" t="str">
        <f>IFERROR(INDEX(DepartmentData!$B$2:$B$6,MATCH(E108,DepartmentData!$A$2:$A$6,0)),"")</f>
        <v>Ethan</v>
      </c>
      <c r="L108" t="str">
        <f>IFERROR(INDEX(DepartmentData!$C$2:$C$6,MATCH(E108,DepartmentData!$A$2:$A$6,0)),"")</f>
        <v>Pune</v>
      </c>
      <c r="M108" t="str">
        <f>IF(EXACT(MoreEmployees!B8,"NA"),C108&amp;"@"&amp;D108,MoreEmployees!B8)</f>
        <v>newemp107@company.com</v>
      </c>
    </row>
    <row r="109" spans="1:13" x14ac:dyDescent="0.3">
      <c r="A109">
        <f t="shared" si="6"/>
        <v>108</v>
      </c>
      <c r="B109" t="str">
        <f>MoreEmployees!A9</f>
        <v>New Employee 108</v>
      </c>
      <c r="C109" t="str">
        <f>IF(EXACT(MoreEmployees!B9,"NA"),"emp"&amp;A109,LEFT(MoreEmployees!B9,FIND("@",MoreEmployees!B9)-1))</f>
        <v>newemp108</v>
      </c>
      <c r="D109" t="str">
        <f>IF(EXACT(MoreEmployees!B9,"NA"),"company.com",MID(MoreEmployees!B9,FIND("@",MoreEmployees!B9)+1,50))</f>
        <v>company.com</v>
      </c>
      <c r="E109" t="str">
        <f>MoreEmployees!C9</f>
        <v>HR</v>
      </c>
      <c r="F109" s="1">
        <f>MoreEmployees!D9</f>
        <v>45299</v>
      </c>
      <c r="G109" s="1">
        <f>MoreEmployees!E9</f>
        <v>45476</v>
      </c>
      <c r="H109">
        <f>MoreEmployees!F9</f>
        <v>55509</v>
      </c>
      <c r="I109">
        <f>MoreEmployees!G9</f>
        <v>0.19</v>
      </c>
      <c r="J109">
        <f t="shared" si="7"/>
        <v>10546.710000000001</v>
      </c>
      <c r="K109" t="str">
        <f>IFERROR(INDEX(DepartmentData!$B$2:$B$6,MATCH(E109,DepartmentData!$A$2:$A$6,0)),"")</f>
        <v>Alice</v>
      </c>
      <c r="L109" t="str">
        <f>IFERROR(INDEX(DepartmentData!$C$2:$C$6,MATCH(E109,DepartmentData!$A$2:$A$6,0)),"")</f>
        <v>Mumbai</v>
      </c>
      <c r="M109" t="str">
        <f>IF(EXACT(MoreEmployees!B9,"NA"),C109&amp;"@"&amp;D109,MoreEmployees!B9)</f>
        <v>newemp108@company.com</v>
      </c>
    </row>
    <row r="110" spans="1:13" x14ac:dyDescent="0.3">
      <c r="A110">
        <f t="shared" si="6"/>
        <v>109</v>
      </c>
      <c r="B110" t="str">
        <f>MoreEmployees!A10</f>
        <v>New Employee 109</v>
      </c>
      <c r="C110" t="str">
        <f>IF(EXACT(MoreEmployees!B10,"NA"),"emp"&amp;A110,LEFT(MoreEmployees!B10,FIND("@",MoreEmployees!B10)-1))</f>
        <v>newemp109</v>
      </c>
      <c r="D110" t="str">
        <f>IF(EXACT(MoreEmployees!B10,"NA"),"company.com",MID(MoreEmployees!B10,FIND("@",MoreEmployees!B10)+1,50))</f>
        <v>company.com</v>
      </c>
      <c r="E110" t="str">
        <f>MoreEmployees!C10</f>
        <v>HR</v>
      </c>
      <c r="F110" s="1">
        <f>MoreEmployees!D10</f>
        <v>45390</v>
      </c>
      <c r="G110" s="1">
        <f>MoreEmployees!E10</f>
        <v>45499</v>
      </c>
      <c r="H110">
        <f>MoreEmployees!F10</f>
        <v>66698</v>
      </c>
      <c r="I110">
        <f>MoreEmployees!G10</f>
        <v>0.21</v>
      </c>
      <c r="J110">
        <f t="shared" si="7"/>
        <v>14006.58</v>
      </c>
      <c r="K110" t="str">
        <f>IFERROR(INDEX(DepartmentData!$B$2:$B$6,MATCH(E110,DepartmentData!$A$2:$A$6,0)),"")</f>
        <v>Alice</v>
      </c>
      <c r="L110" t="str">
        <f>IFERROR(INDEX(DepartmentData!$C$2:$C$6,MATCH(E110,DepartmentData!$A$2:$A$6,0)),"")</f>
        <v>Mumbai</v>
      </c>
      <c r="M110" t="str">
        <f>IF(EXACT(MoreEmployees!B10,"NA"),C110&amp;"@"&amp;D110,MoreEmployees!B10)</f>
        <v>newemp109@company.com</v>
      </c>
    </row>
    <row r="111" spans="1:13" x14ac:dyDescent="0.3">
      <c r="A111">
        <f t="shared" si="6"/>
        <v>110</v>
      </c>
      <c r="B111" t="str">
        <f>MoreEmployees!A11</f>
        <v>New Employee 110</v>
      </c>
      <c r="C111" t="str">
        <f>IF(EXACT(MoreEmployees!B11,"NA"),"emp"&amp;A111,LEFT(MoreEmployees!B11,FIND("@",MoreEmployees!B11)-1))</f>
        <v>newemp110</v>
      </c>
      <c r="D111" t="str">
        <f>IF(EXACT(MoreEmployees!B11,"NA"),"company.com",MID(MoreEmployees!B11,FIND("@",MoreEmployees!B11)+1,50))</f>
        <v>company.com</v>
      </c>
      <c r="E111" t="str">
        <f>MoreEmployees!C11</f>
        <v>IT</v>
      </c>
      <c r="F111" s="1">
        <f>MoreEmployees!D11</f>
        <v>45359</v>
      </c>
      <c r="G111" s="1">
        <f>MoreEmployees!E11</f>
        <v>45490</v>
      </c>
      <c r="H111">
        <f>MoreEmployees!F11</f>
        <v>47087</v>
      </c>
      <c r="I111">
        <f>MoreEmployees!G11</f>
        <v>0.12</v>
      </c>
      <c r="J111">
        <f t="shared" si="7"/>
        <v>5650.44</v>
      </c>
      <c r="K111" t="str">
        <f>IFERROR(INDEX(DepartmentData!$B$2:$B$6,MATCH(E111,DepartmentData!$A$2:$A$6,0)),"")</f>
        <v>Diana</v>
      </c>
      <c r="L111" t="str">
        <f>IFERROR(INDEX(DepartmentData!$C$2:$C$6,MATCH(E111,DepartmentData!$A$2:$A$6,0)),"")</f>
        <v>Hyderabad</v>
      </c>
      <c r="M111" t="str">
        <f>IF(EXACT(MoreEmployees!B11,"NA"),C111&amp;"@"&amp;D111,MoreEmployees!B11)</f>
        <v>newemp110@company.com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>
      <selection sqref="A1:C1"/>
    </sheetView>
  </sheetViews>
  <sheetFormatPr defaultColWidth="8.6640625" defaultRowHeight="14.4" x14ac:dyDescent="0.3"/>
  <cols>
    <col min="1" max="1" width="13.33203125" customWidth="1"/>
    <col min="2" max="2" width="18.21875" customWidth="1"/>
    <col min="3" max="3" width="10.21875" customWidth="1"/>
  </cols>
  <sheetData>
    <row r="1" spans="1:3" x14ac:dyDescent="0.3">
      <c r="A1" s="4" t="s">
        <v>2</v>
      </c>
      <c r="B1" s="4" t="s">
        <v>206</v>
      </c>
      <c r="C1" s="4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>
      <selection sqref="A1:G1"/>
    </sheetView>
  </sheetViews>
  <sheetFormatPr defaultColWidth="8.6640625" defaultRowHeight="14.4" x14ac:dyDescent="0.3"/>
  <cols>
    <col min="1" max="1" width="16.77734375" customWidth="1"/>
    <col min="2" max="2" width="24.88671875" customWidth="1"/>
    <col min="3" max="3" width="13.33203125" customWidth="1"/>
    <col min="4" max="5" width="10.77734375" customWidth="1"/>
    <col min="6" max="6" width="8.109375" customWidth="1"/>
    <col min="7" max="7" width="10.21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218</v>
      </c>
      <c r="B2" t="s">
        <v>219</v>
      </c>
      <c r="C2" t="s">
        <v>31</v>
      </c>
      <c r="D2" s="1">
        <v>45329</v>
      </c>
      <c r="E2" s="1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1">
        <v>45453</v>
      </c>
      <c r="E3" s="1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1">
        <v>45299</v>
      </c>
      <c r="E4" s="1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1">
        <v>45303</v>
      </c>
      <c r="E5" s="1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1">
        <v>45384</v>
      </c>
      <c r="E6" s="1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1">
        <v>45410</v>
      </c>
      <c r="E7" s="1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1">
        <v>45445</v>
      </c>
      <c r="E8" s="1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1">
        <v>45299</v>
      </c>
      <c r="E9" s="1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1">
        <v>45390</v>
      </c>
      <c r="E10" s="1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1">
        <v>45359</v>
      </c>
      <c r="E11" s="1">
        <v>45490</v>
      </c>
      <c r="F11">
        <v>47087</v>
      </c>
      <c r="G11">
        <v>0.12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EmpTable</vt:lpstr>
      <vt:lpstr>DepartmentData</vt:lpstr>
      <vt:lpstr>MoreEmployees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HR_User</dc:creator>
  <dc:description/>
  <cp:lastModifiedBy>MS Office</cp:lastModifiedBy>
  <cp:revision>0</cp:revision>
  <dcterms:created xsi:type="dcterms:W3CDTF">2025-09-21T08:47:24Z</dcterms:created>
  <dcterms:modified xsi:type="dcterms:W3CDTF">2026-10-22T14:59:45Z</dcterms:modified>
  <dc:language>en-US</dc:language>
</cp:coreProperties>
</file>